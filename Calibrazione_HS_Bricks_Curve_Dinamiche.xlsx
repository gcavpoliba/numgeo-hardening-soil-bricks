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_G_G0_e_Smorzamento" sheetId="1" state="visible" r:id="rId1"/>
    <sheet name="Dati_Simulazione_Dri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"/>
    <numFmt numFmtId="166" formatCode="0.0000"/>
    <numFmt numFmtId="167" formatCode="#,##0.0"/>
    <numFmt numFmtId="168" formatCode="0.000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4A607A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6F97"/>
        <bgColor rgb="002A6F97"/>
      </patternFill>
    </fill>
    <fill>
      <patternFill patternType="solid">
        <fgColor rgb="00FFF3CD"/>
        <bgColor rgb="00FFF3CD"/>
      </patternFill>
    </fill>
    <fill>
      <patternFill patternType="solid">
        <fgColor rgb="002D6A4F"/>
        <bgColor rgb="002D6A4F"/>
      </patternFill>
    </fill>
    <fill>
      <patternFill patternType="solid">
        <fgColor rgb="00E8F4F8"/>
        <bgColor rgb="00E8F4F8"/>
      </patternFill>
    </fill>
    <fill>
      <patternFill patternType="solid">
        <fgColor rgb="003D5A80"/>
        <bgColor rgb="003D5A80"/>
      </patternFill>
    </fill>
    <fill>
      <patternFill patternType="solid">
        <fgColor rgb="009D0208"/>
        <bgColor rgb="009D0208"/>
      </patternFill>
    </fill>
    <fill>
      <patternFill patternType="solid">
        <fgColor rgb="00FDE8E8"/>
        <b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164" fontId="5" fillId="4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2" fontId="5" fillId="6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6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2" fontId="5" fillId="4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11" fontId="5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8" fontId="0" fillId="9" borderId="1" applyAlignment="1" pivotButton="0" quotePrefix="0" xfId="0">
      <alignment horizontal="right"/>
    </xf>
    <xf numFmtId="2" fontId="0" fillId="9" borderId="1" applyAlignment="1" pivotButton="0" quotePrefix="0" xfId="0">
      <alignment horizontal="right"/>
    </xf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1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Curva di Decadimento del Modulo di Taglio G/G0 - gamma</a:t>
            </a:r>
          </a:p>
        </rich>
      </tx>
    </title>
    <plotArea>
      <scatterChart>
        <ser>
          <idx val="0"/>
          <order val="0"/>
          <tx>
            <strRef>
              <f>'Curva_G_G0_e_Smorzamento'!C31</f>
            </strRef>
          </tx>
          <spPr>
            <a:ln w="25000">
              <a:solidFill>
                <a:srgbClr val="00509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'Curva_G_G0_e_Smorzamento'!$A$32:$A$82</f>
            </numRef>
          </xVal>
          <yVal>
            <numRef>
              <f>'Curva_G_G0_e_Smorzamento'!$C$32:$C$82</f>
            </numRef>
          </yVal>
        </ser>
        <ser>
          <idx val="1"/>
          <order val="1"/>
          <tx>
            <strRef>
              <f>'Curva_G_G0_e_Smorzamento'!H31</f>
            </strRef>
          </tx>
          <spPr>
            <a:ln>
              <a:noFill/>
              <a:prstDash val="solid"/>
            </a:ln>
          </spPr>
          <marker>
            <symbol val="triangle"/>
            <spPr>
              <a:solidFill>
                <a:srgbClr val="9D0208"/>
              </a:solidFill>
              <a:ln>
                <a:solidFill>
                  <a:srgbClr val="9D0208"/>
                </a:solidFill>
                <a:prstDash val="solid"/>
              </a:ln>
            </spPr>
          </marker>
          <xVal>
            <numRef>
              <f>'Curva_G_G0_e_Smorzamento'!$A$32:$A$82</f>
            </numRef>
          </xVal>
          <yVal>
            <numRef>
              <f>'Curva_G_G0_e_Smorzamento'!$H$32:$H$82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Deformazione di scorrimento gamma_s [-]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Modulo normalizzato G / G0 [-]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Curva di Smorzamento Isteretico D [%] - gamma</a:t>
            </a:r>
          </a:p>
        </rich>
      </tx>
    </title>
    <plotArea>
      <scatterChart>
        <ser>
          <idx val="0"/>
          <order val="0"/>
          <tx>
            <strRef>
              <f>'Curva_G_G0_e_Smorzamento'!G31</f>
            </strRef>
          </tx>
          <spPr>
            <a:ln w="25000">
              <a:solidFill>
                <a:srgbClr val="DC2F0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'Curva_G_G0_e_Smorzamento'!$A$32:$A$82</f>
            </numRef>
          </xVal>
          <yVal>
            <numRef>
              <f>'Curva_G_G0_e_Smorzamento'!$G$32:$G$82</f>
            </numRef>
          </yVal>
        </ser>
        <ser>
          <idx val="1"/>
          <order val="1"/>
          <tx>
            <strRef>
              <f>'Curva_G_G0_e_Smorzamento'!I31</f>
            </strRef>
          </tx>
          <spPr>
            <a:ln>
              <a:noFill/>
              <a:prstDash val="solid"/>
            </a:ln>
          </spPr>
          <marker>
            <symbol val="circle"/>
            <spPr>
              <a:solidFill>
                <a:srgbClr val="1B365D"/>
              </a:solidFill>
              <a:ln>
                <a:solidFill>
                  <a:srgbClr val="1B365D"/>
                </a:solidFill>
                <a:prstDash val="solid"/>
              </a:ln>
            </spPr>
          </marker>
          <xVal>
            <numRef>
              <f>'Curva_G_G0_e_Smorzamento'!$A$32:$A$82</f>
            </numRef>
          </xVal>
          <yVal>
            <numRef>
              <f>'Curva_G_G0_e_Smorzamento'!$I$32:$I$82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Deformazione di scorrimento gamma_s [-]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Rapporto di smorzamento 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Curva Scheletro Tensione-Deformazione tau - gamma</a:t>
            </a:r>
          </a:p>
        </rich>
      </tx>
    </title>
    <plotArea>
      <scatterChart>
        <ser>
          <idx val="0"/>
          <order val="0"/>
          <tx>
            <strRef>
              <f>'Curva_G_G0_e_Smorzamento'!F31</f>
            </strRef>
          </tx>
          <spPr>
            <a:ln w="25000">
              <a:solidFill>
                <a:srgbClr val="2D6A4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'Curva_G_G0_e_Smorzamento'!$A$32:$A$82</f>
            </numRef>
          </xVal>
          <yVal>
            <numRef>
              <f>'Curva_G_G0_e_Smorzamento'!$F$32:$F$82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Deformazione di scorrimento gamma_s [-]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Tensione tangenziale tau [kPa]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25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47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8" customWidth="1" min="4" max="4"/>
    <col width="16" customWidth="1" min="5" max="5"/>
    <col width="15" customWidth="1" min="6" max="6"/>
    <col width="20" customWidth="1" min="7" max="7"/>
    <col width="16" customWidth="1" min="8" max="8"/>
    <col width="16" customWidth="1" min="9" max="9"/>
    <col width="16" customWidth="1" min="10" max="10"/>
    <col width="4" customWidth="1" min="11" max="11"/>
    <col width="20" customWidth="1" min="12" max="12"/>
  </cols>
  <sheetData>
    <row r="1">
      <c r="A1" s="1" t="inlineStr">
        <is>
          <t>MODELLO COSTITUTIVO HARDENING SOIL SMALL (BRICKS) — CURVE DINAMICHE G/G0 E SMORZAMENTO D</t>
        </is>
      </c>
    </row>
    <row r="2">
      <c r="A2" s="2" t="inlineStr">
        <is>
          <t>Relazioni costitutive secondo Cudny &amp; Truty (2020), Santos &amp; Correia (2001) e Hardin &amp; Drnevich (1972)</t>
        </is>
      </c>
    </row>
    <row r="4">
      <c r="A4" s="3" t="inlineStr">
        <is>
          <t>PARAMETRI DI INPUT DEL MATERIALE (Modificabili)</t>
        </is>
      </c>
      <c r="F4" s="3" t="inlineStr">
        <is>
          <t>PARAMETRI CALCOLATI DAL MODELLO (Formule Dinamiche)</t>
        </is>
      </c>
    </row>
    <row r="5">
      <c r="A5" s="4" t="inlineStr">
        <is>
          <t>Simbolo</t>
        </is>
      </c>
      <c r="B5" s="4" t="inlineStr">
        <is>
          <t>Descrizione Geotecnica</t>
        </is>
      </c>
      <c r="C5" s="4" t="inlineStr">
        <is>
          <t>Valore Input</t>
        </is>
      </c>
      <c r="D5" s="4" t="inlineStr">
        <is>
          <t>Unità</t>
        </is>
      </c>
      <c r="F5" s="5" t="inlineStr">
        <is>
          <t>Simbolo</t>
        </is>
      </c>
      <c r="G5" s="5" t="inlineStr">
        <is>
          <t>Descrizione / Formula</t>
        </is>
      </c>
      <c r="H5" s="5" t="inlineStr">
        <is>
          <t>Valore Calcolato</t>
        </is>
      </c>
      <c r="I5" s="5" t="inlineStr">
        <is>
          <t>Unità</t>
        </is>
      </c>
    </row>
    <row r="6">
      <c r="A6" s="6" t="inlineStr">
        <is>
          <t>G0_ref</t>
        </is>
      </c>
      <c r="B6" s="7" t="inlineStr">
        <is>
          <t>Modulo di taglio a piccolissime deformazioni a pref</t>
        </is>
      </c>
      <c r="C6" s="8" t="n">
        <v>60000</v>
      </c>
      <c r="D6" s="9" t="inlineStr">
        <is>
          <t>kPa</t>
        </is>
      </c>
      <c r="F6" s="6" t="inlineStr">
        <is>
          <t>apex</t>
        </is>
      </c>
      <c r="G6" s="7" t="inlineStr">
        <is>
          <t>Tensione equivalente coesiva c*cot(phi)</t>
        </is>
      </c>
      <c r="H6" s="10">
        <f>C12/TAN(RADIANS(C13))</f>
        <v/>
      </c>
      <c r="I6" s="9" t="inlineStr">
        <is>
          <t>kPa</t>
        </is>
      </c>
    </row>
    <row r="7">
      <c r="A7" s="6" t="inlineStr">
        <is>
          <t>gamma_0.7</t>
        </is>
      </c>
      <c r="B7" s="7" t="inlineStr">
        <is>
          <t>Soglia di scorrimento al 72.2% di decadimento (G/G0=0.722)</t>
        </is>
      </c>
      <c r="C7" s="11" t="n">
        <v>0.0003</v>
      </c>
      <c r="D7" s="9" t="inlineStr">
        <is>
          <t>-</t>
        </is>
      </c>
      <c r="F7" s="6" t="inlineStr">
        <is>
          <t>fac_stress</t>
        </is>
      </c>
      <c r="G7" s="7" t="inlineStr">
        <is>
          <t>Fattore di scala tensionale ((p0+apex)/(pref+apex))^m</t>
        </is>
      </c>
      <c r="H7" s="12">
        <f>((C14+H6)/(C10+H6))^C11</f>
        <v/>
      </c>
      <c r="I7" s="9" t="inlineStr">
        <is>
          <t>-</t>
        </is>
      </c>
    </row>
    <row r="8">
      <c r="A8" s="6" t="inlineStr">
        <is>
          <t>Eur_ref</t>
        </is>
      </c>
      <c r="B8" s="7" t="inlineStr">
        <is>
          <t>Modulo di Young di scarico-ricarico a pref</t>
        </is>
      </c>
      <c r="C8" s="8" t="n">
        <v>25750</v>
      </c>
      <c r="D8" s="9" t="inlineStr">
        <is>
          <t>kPa</t>
        </is>
      </c>
      <c r="F8" s="6" t="inlineStr">
        <is>
          <t>Gur_ref</t>
        </is>
      </c>
      <c r="G8" s="7" t="inlineStr">
        <is>
          <t>Modulo di taglio elastico scarico Eur/(2*(1+nu))</t>
        </is>
      </c>
      <c r="H8" s="13">
        <f>C8/(2*(1+C9))</f>
        <v/>
      </c>
      <c r="I8" s="9" t="inlineStr">
        <is>
          <t>kPa</t>
        </is>
      </c>
    </row>
    <row r="9">
      <c r="A9" s="6" t="inlineStr">
        <is>
          <t>nu_ur</t>
        </is>
      </c>
      <c r="B9" s="7" t="inlineStr">
        <is>
          <t>Coefficiente di Poisson elastico (scarico/ricarico)</t>
        </is>
      </c>
      <c r="C9" s="14" t="n">
        <v>0.29</v>
      </c>
      <c r="D9" s="9" t="inlineStr">
        <is>
          <t>-</t>
        </is>
      </c>
      <c r="F9" s="6" t="inlineStr">
        <is>
          <t>G0(p0)</t>
        </is>
      </c>
      <c r="G9" s="7" t="inlineStr">
        <is>
          <t>Modulo di taglio a piccolissime def. al confinamento p0</t>
        </is>
      </c>
      <c r="H9" s="13">
        <f>C6*H7</f>
        <v/>
      </c>
      <c r="I9" s="9" t="inlineStr">
        <is>
          <t>kPa</t>
        </is>
      </c>
    </row>
    <row r="10">
      <c r="A10" s="6" t="inlineStr">
        <is>
          <t>pref</t>
        </is>
      </c>
      <c r="B10" s="7" t="inlineStr">
        <is>
          <t>Pressione di riferimento di laboratorio</t>
        </is>
      </c>
      <c r="C10" s="8" t="n">
        <v>100</v>
      </c>
      <c r="D10" s="9" t="inlineStr">
        <is>
          <t>kPa</t>
        </is>
      </c>
      <c r="F10" s="6" t="inlineStr">
        <is>
          <t>Gur(p0)</t>
        </is>
      </c>
      <c r="G10" s="7" t="inlineStr">
        <is>
          <t>Modulo di taglio elastico al confinamento p0</t>
        </is>
      </c>
      <c r="H10" s="13">
        <f>H8*H7</f>
        <v/>
      </c>
      <c r="I10" s="9" t="inlineStr">
        <is>
          <t>kPa</t>
        </is>
      </c>
    </row>
    <row r="11">
      <c r="A11" s="6" t="inlineStr">
        <is>
          <t>m</t>
        </is>
      </c>
      <c r="B11" s="7" t="inlineStr">
        <is>
          <t>Esponente della dipendenza dallo stato tensionale</t>
        </is>
      </c>
      <c r="C11" s="14" t="n">
        <v>0.7</v>
      </c>
      <c r="D11" s="9" t="inlineStr">
        <is>
          <t>-</t>
        </is>
      </c>
      <c r="F11" s="6" t="inlineStr">
        <is>
          <t>Gmin / G0</t>
        </is>
      </c>
      <c r="G11" s="7" t="inlineStr">
        <is>
          <t>Limite inferiore di degradazione Gur / G0</t>
        </is>
      </c>
      <c r="H11" s="12">
        <f>H8/C6</f>
        <v/>
      </c>
      <c r="I11" s="9" t="inlineStr">
        <is>
          <t>-</t>
        </is>
      </c>
    </row>
    <row r="12">
      <c r="A12" s="6" t="inlineStr">
        <is>
          <t>c</t>
        </is>
      </c>
      <c r="B12" s="7" t="inlineStr">
        <is>
          <t>Coesione efficace del terreno</t>
        </is>
      </c>
      <c r="C12" s="8" t="n">
        <v>6</v>
      </c>
      <c r="D12" s="9" t="inlineStr">
        <is>
          <t>kPa</t>
        </is>
      </c>
      <c r="F12" s="6" t="inlineStr">
        <is>
          <t>a</t>
        </is>
      </c>
      <c r="G12" s="7" t="inlineStr">
        <is>
          <t>Costante di curvatura Santos &amp; Correia = 3/7</t>
        </is>
      </c>
      <c r="H12" s="12">
        <f>3/7</f>
        <v/>
      </c>
      <c r="I12" s="9" t="inlineStr">
        <is>
          <t>-</t>
        </is>
      </c>
    </row>
    <row r="13">
      <c r="A13" s="6" t="inlineStr">
        <is>
          <t>phi</t>
        </is>
      </c>
      <c r="B13" s="7" t="inlineStr">
        <is>
          <t>Angolo di attrito efficace (Matsuoka-Nakai)</t>
        </is>
      </c>
      <c r="C13" s="8" t="n">
        <v>28</v>
      </c>
      <c r="D13" s="9" t="inlineStr">
        <is>
          <t>deg</t>
        </is>
      </c>
      <c r="F13" s="6" t="inlineStr">
        <is>
          <t>h1</t>
        </is>
      </c>
      <c r="G13" s="7" t="inlineStr">
        <is>
          <t>Parametro di corda Hardin-Drnevich = 7/3 * gamma0.7</t>
        </is>
      </c>
      <c r="H13" s="15">
        <f>(7/3)*C7</f>
        <v/>
      </c>
      <c r="I13" s="9" t="inlineStr">
        <is>
          <t>-</t>
        </is>
      </c>
    </row>
    <row r="14">
      <c r="A14" s="6" t="inlineStr">
        <is>
          <t>p0_eff</t>
        </is>
      </c>
      <c r="B14" s="7" t="inlineStr">
        <is>
          <t>Pressione media efficace iniziale (confinamento)</t>
        </is>
      </c>
      <c r="C14" s="8" t="n">
        <v>100</v>
      </c>
      <c r="D14" s="9" t="inlineStr">
        <is>
          <t>kPa</t>
        </is>
      </c>
      <c r="F14" s="6" t="inlineStr">
        <is>
          <t>D_min</t>
        </is>
      </c>
      <c r="G14" s="7" t="inlineStr">
        <is>
          <t>Smorzamento isteretico a piccole deformazioni (stimato)</t>
        </is>
      </c>
      <c r="H14" s="10" t="inlineStr">
        <is>
          <t>0.50</t>
        </is>
      </c>
      <c r="I14" s="9" t="inlineStr">
        <is>
          <t>%</t>
        </is>
      </c>
    </row>
    <row r="16">
      <c r="A16" s="16" t="inlineStr">
        <is>
          <t>DISCRETIZZAZIONE MULTI-SUPERFICIE A 10 BRICK (Cudny &amp; Truty 2020, Eq. 18-20)</t>
        </is>
      </c>
    </row>
    <row r="17">
      <c r="A17" s="17" t="inlineStr">
        <is>
          <t>Brick #</t>
        </is>
      </c>
      <c r="B17" s="17" t="inlineStr">
        <is>
          <t>Stiffness Range</t>
        </is>
      </c>
      <c r="C17" s="17" t="inlineStr">
        <is>
          <t>Delta_omega [-]</t>
        </is>
      </c>
      <c r="D17" s="17" t="inlineStr">
        <is>
          <t>gG_j [-]</t>
        </is>
      </c>
      <c r="E17" s="17" t="inlineStr">
        <is>
          <t>Lunghezza Corda sl_j [-]</t>
        </is>
      </c>
      <c r="F17" s="17" t="inlineStr">
        <is>
          <t>Corda sl_j [%]</t>
        </is>
      </c>
      <c r="G17" s="17" t="inlineStr">
        <is>
          <t>Note Meccaniche</t>
        </is>
      </c>
    </row>
    <row r="18">
      <c r="A18" s="18" t="n">
        <v>1</v>
      </c>
      <c r="B18" s="19">
        <f>(1-$H$11)</f>
        <v/>
      </c>
      <c r="C18" s="19">
        <f>B18/10</f>
        <v/>
      </c>
      <c r="D18" s="19">
        <f>1 - 1*C18 + 0.5*C18</f>
        <v/>
      </c>
      <c r="E18" s="20">
        <f>$H$13*(SQRT(1/D18) - 1)</f>
        <v/>
      </c>
      <c r="F18" s="19">
        <f>E18*100</f>
        <v/>
      </c>
      <c r="G18" s="9" t="inlineStr">
        <is>
          <t>Superficie di snervamento cinetico 1/10</t>
        </is>
      </c>
    </row>
    <row r="19">
      <c r="A19" s="18" t="n">
        <v>2</v>
      </c>
      <c r="B19" s="19">
        <f>(1-$H$11)</f>
        <v/>
      </c>
      <c r="C19" s="19">
        <f>B19/10</f>
        <v/>
      </c>
      <c r="D19" s="19">
        <f>1 - 2*C19 + 0.5*C19</f>
        <v/>
      </c>
      <c r="E19" s="20">
        <f>$H$13*(SQRT(1/D19) - 1)</f>
        <v/>
      </c>
      <c r="F19" s="19">
        <f>E19*100</f>
        <v/>
      </c>
      <c r="G19" s="9" t="inlineStr">
        <is>
          <t>Superficie di snervamento cinetico 2/10</t>
        </is>
      </c>
    </row>
    <row r="20">
      <c r="A20" s="18" t="n">
        <v>3</v>
      </c>
      <c r="B20" s="19">
        <f>(1-$H$11)</f>
        <v/>
      </c>
      <c r="C20" s="19">
        <f>B20/10</f>
        <v/>
      </c>
      <c r="D20" s="19">
        <f>1 - 3*C20 + 0.5*C20</f>
        <v/>
      </c>
      <c r="E20" s="20">
        <f>$H$13*(SQRT(1/D20) - 1)</f>
        <v/>
      </c>
      <c r="F20" s="19">
        <f>E20*100</f>
        <v/>
      </c>
      <c r="G20" s="9" t="inlineStr">
        <is>
          <t>Superficie di snervamento cinetico 3/10</t>
        </is>
      </c>
    </row>
    <row r="21">
      <c r="A21" s="18" t="n">
        <v>4</v>
      </c>
      <c r="B21" s="19">
        <f>(1-$H$11)</f>
        <v/>
      </c>
      <c r="C21" s="19">
        <f>B21/10</f>
        <v/>
      </c>
      <c r="D21" s="19">
        <f>1 - 4*C21 + 0.5*C21</f>
        <v/>
      </c>
      <c r="E21" s="20">
        <f>$H$13*(SQRT(1/D21) - 1)</f>
        <v/>
      </c>
      <c r="F21" s="19">
        <f>E21*100</f>
        <v/>
      </c>
      <c r="G21" s="9" t="inlineStr">
        <is>
          <t>Superficie di snervamento cinetico 4/10</t>
        </is>
      </c>
    </row>
    <row r="22">
      <c r="A22" s="18" t="n">
        <v>5</v>
      </c>
      <c r="B22" s="19">
        <f>(1-$H$11)</f>
        <v/>
      </c>
      <c r="C22" s="19">
        <f>B22/10</f>
        <v/>
      </c>
      <c r="D22" s="19">
        <f>1 - 5*C22 + 0.5*C22</f>
        <v/>
      </c>
      <c r="E22" s="20">
        <f>$H$13*(SQRT(1/D22) - 1)</f>
        <v/>
      </c>
      <c r="F22" s="19">
        <f>E22*100</f>
        <v/>
      </c>
      <c r="G22" s="9" t="inlineStr">
        <is>
          <t>Superficie di snervamento cinetico 5/10</t>
        </is>
      </c>
    </row>
    <row r="23">
      <c r="A23" s="18" t="n">
        <v>6</v>
      </c>
      <c r="B23" s="19">
        <f>(1-$H$11)</f>
        <v/>
      </c>
      <c r="C23" s="19">
        <f>B23/10</f>
        <v/>
      </c>
      <c r="D23" s="19">
        <f>1 - 6*C23 + 0.5*C23</f>
        <v/>
      </c>
      <c r="E23" s="20">
        <f>$H$13*(SQRT(1/D23) - 1)</f>
        <v/>
      </c>
      <c r="F23" s="19">
        <f>E23*100</f>
        <v/>
      </c>
      <c r="G23" s="9" t="inlineStr">
        <is>
          <t>Superficie di snervamento cinetico 6/10</t>
        </is>
      </c>
    </row>
    <row r="24">
      <c r="A24" s="18" t="n">
        <v>7</v>
      </c>
      <c r="B24" s="19">
        <f>(1-$H$11)</f>
        <v/>
      </c>
      <c r="C24" s="19">
        <f>B24/10</f>
        <v/>
      </c>
      <c r="D24" s="19">
        <f>1 - 7*C24 + 0.5*C24</f>
        <v/>
      </c>
      <c r="E24" s="20">
        <f>$H$13*(SQRT(1/D24) - 1)</f>
        <v/>
      </c>
      <c r="F24" s="19">
        <f>E24*100</f>
        <v/>
      </c>
      <c r="G24" s="9" t="inlineStr">
        <is>
          <t>Superficie di snervamento cinetico 7/10</t>
        </is>
      </c>
    </row>
    <row r="25">
      <c r="A25" s="18" t="n">
        <v>8</v>
      </c>
      <c r="B25" s="19">
        <f>(1-$H$11)</f>
        <v/>
      </c>
      <c r="C25" s="19">
        <f>B25/10</f>
        <v/>
      </c>
      <c r="D25" s="19">
        <f>1 - 8*C25 + 0.5*C25</f>
        <v/>
      </c>
      <c r="E25" s="20">
        <f>$H$13*(SQRT(1/D25) - 1)</f>
        <v/>
      </c>
      <c r="F25" s="19">
        <f>E25*100</f>
        <v/>
      </c>
      <c r="G25" s="9" t="inlineStr">
        <is>
          <t>Superficie di snervamento cinetico 8/10</t>
        </is>
      </c>
    </row>
    <row r="26">
      <c r="A26" s="18" t="n">
        <v>9</v>
      </c>
      <c r="B26" s="19">
        <f>(1-$H$11)</f>
        <v/>
      </c>
      <c r="C26" s="19">
        <f>B26/10</f>
        <v/>
      </c>
      <c r="D26" s="19">
        <f>1 - 9*C26 + 0.5*C26</f>
        <v/>
      </c>
      <c r="E26" s="20">
        <f>$H$13*(SQRT(1/D26) - 1)</f>
        <v/>
      </c>
      <c r="F26" s="19">
        <f>E26*100</f>
        <v/>
      </c>
      <c r="G26" s="9" t="inlineStr">
        <is>
          <t>Superficie di snervamento cinetico 9/10</t>
        </is>
      </c>
    </row>
    <row r="27">
      <c r="A27" s="18" t="n">
        <v>10</v>
      </c>
      <c r="B27" s="19">
        <f>(1-$H$11)</f>
        <v/>
      </c>
      <c r="C27" s="19">
        <f>B27/10</f>
        <v/>
      </c>
      <c r="D27" s="19">
        <f>1 - 10*C27 + 0.5*C27</f>
        <v/>
      </c>
      <c r="E27" s="20">
        <f>$H$13*(SQRT(1/D27) - 1)</f>
        <v/>
      </c>
      <c r="F27" s="19">
        <f>E27*100</f>
        <v/>
      </c>
      <c r="G27" s="9" t="inlineStr">
        <is>
          <t>Superficie di snervamento cinetico 10/10</t>
        </is>
      </c>
    </row>
    <row r="30">
      <c r="A30" s="3" t="inlineStr">
        <is>
          <t>TABELLA CALCOLO CURVE DINAMICHE E CONFRONTO SPERIMENTALE</t>
        </is>
      </c>
    </row>
    <row r="31">
      <c r="A31" s="4" t="inlineStr">
        <is>
          <t>gamma_s [-]</t>
        </is>
      </c>
      <c r="B31" s="4" t="inlineStr">
        <is>
          <t>gamma_s [%]</t>
        </is>
      </c>
      <c r="C31" s="4" t="inlineStr">
        <is>
          <t>G_sec / G0 [-]</t>
        </is>
      </c>
      <c r="D31" s="4" t="inlineStr">
        <is>
          <t>G_tan / G0 [-]</t>
        </is>
      </c>
      <c r="E31" s="4" t="inlineStr">
        <is>
          <t>G_sec [kPa]</t>
        </is>
      </c>
      <c r="F31" s="4" t="inlineStr">
        <is>
          <t>tau [kPa]</t>
        </is>
      </c>
      <c r="G31" s="4" t="inlineStr">
        <is>
          <t>Smorzamento D [%]</t>
        </is>
      </c>
      <c r="H31" s="21" t="inlineStr">
        <is>
          <t>Lab G/G0 [-]</t>
        </is>
      </c>
      <c r="I31" s="21" t="inlineStr">
        <is>
          <t>Lab D [%]</t>
        </is>
      </c>
      <c r="J31" s="21" t="inlineStr">
        <is>
          <t>Delta (Sim-Lab)</t>
        </is>
      </c>
    </row>
    <row r="32">
      <c r="A32" s="22" t="n">
        <v>1e-06</v>
      </c>
      <c r="B32" s="23">
        <f>A32*100</f>
        <v/>
      </c>
      <c r="C32" s="12">
        <f>MAX($H$11, 1 / (1 + $H$12 * (A32 / $C$7)))</f>
        <v/>
      </c>
      <c r="D32" s="23">
        <f>MAX($H$11, 1 / (1 + $H$12 * (A32 / $C$7))^2)</f>
        <v/>
      </c>
      <c r="E32" s="24">
        <f>C32 * $H$9</f>
        <v/>
      </c>
      <c r="F32" s="25">
        <f>E32 * A32</f>
        <v/>
      </c>
      <c r="G32" s="10">
        <f>IF(($H$12*(A32/$C$7))&lt;0.01, $H$14, MIN(45, $H$14 + 100 * ((4/PI()) * ((1 + $H$12*(A32/$C$7))/($H$12*(A32/$C$7))) * (1 - LN(1 + $H$12*(A32/$C$7))/($H$12*(A32/$C$7))) - (2/PI()))))</f>
        <v/>
      </c>
      <c r="H32" s="26" t="n">
        <v>1</v>
      </c>
      <c r="I32" s="27" t="n">
        <v>0.5</v>
      </c>
      <c r="J32" s="25">
        <f>IF(ISBLANK(H32), "", C32 - H32)</f>
        <v/>
      </c>
    </row>
    <row r="33">
      <c r="A33" s="22" t="n">
        <v>1.258925411794166e-06</v>
      </c>
      <c r="B33" s="23">
        <f>A33*100</f>
        <v/>
      </c>
      <c r="C33" s="12">
        <f>MAX($H$11, 1 / (1 + $H$12 * (A33 / $C$7)))</f>
        <v/>
      </c>
      <c r="D33" s="23">
        <f>MAX($H$11, 1 / (1 + $H$12 * (A33 / $C$7))^2)</f>
        <v/>
      </c>
      <c r="E33" s="24">
        <f>C33 * $H$9</f>
        <v/>
      </c>
      <c r="F33" s="25">
        <f>E33 * A33</f>
        <v/>
      </c>
      <c r="G33" s="10">
        <f>IF(($H$12*(A33/$C$7))&lt;0.01, $H$14, MIN(45, $H$14 + 100 * ((4/PI()) * ((1 + $H$12*(A33/$C$7))/($H$12*(A33/$C$7))) * (1 - LN(1 + $H$12*(A33/$C$7))/($H$12*(A33/$C$7))) - (2/PI()))))</f>
        <v/>
      </c>
      <c r="H33" s="26" t="n"/>
      <c r="I33" s="27" t="n"/>
      <c r="J33" s="25">
        <f>IF(ISBLANK(H33), "", C33 - H33)</f>
        <v/>
      </c>
    </row>
    <row r="34">
      <c r="A34" s="22" t="n">
        <v>1.584893192461114e-06</v>
      </c>
      <c r="B34" s="23">
        <f>A34*100</f>
        <v/>
      </c>
      <c r="C34" s="12">
        <f>MAX($H$11, 1 / (1 + $H$12 * (A34 / $C$7)))</f>
        <v/>
      </c>
      <c r="D34" s="23">
        <f>MAX($H$11, 1 / (1 + $H$12 * (A34 / $C$7))^2)</f>
        <v/>
      </c>
      <c r="E34" s="24">
        <f>C34 * $H$9</f>
        <v/>
      </c>
      <c r="F34" s="25">
        <f>E34 * A34</f>
        <v/>
      </c>
      <c r="G34" s="10">
        <f>IF(($H$12*(A34/$C$7))&lt;0.01, $H$14, MIN(45, $H$14 + 100 * ((4/PI()) * ((1 + $H$12*(A34/$C$7))/($H$12*(A34/$C$7))) * (1 - LN(1 + $H$12*(A34/$C$7))/($H$12*(A34/$C$7))) - (2/PI()))))</f>
        <v/>
      </c>
      <c r="H34" s="26" t="n"/>
      <c r="I34" s="27" t="n"/>
      <c r="J34" s="25">
        <f>IF(ISBLANK(H34), "", C34 - H34)</f>
        <v/>
      </c>
    </row>
    <row r="35">
      <c r="A35" s="22" t="n">
        <v>1.995262314968879e-06</v>
      </c>
      <c r="B35" s="23">
        <f>A35*100</f>
        <v/>
      </c>
      <c r="C35" s="12">
        <f>MAX($H$11, 1 / (1 + $H$12 * (A35 / $C$7)))</f>
        <v/>
      </c>
      <c r="D35" s="23">
        <f>MAX($H$11, 1 / (1 + $H$12 * (A35 / $C$7))^2)</f>
        <v/>
      </c>
      <c r="E35" s="24">
        <f>C35 * $H$9</f>
        <v/>
      </c>
      <c r="F35" s="25">
        <f>E35 * A35</f>
        <v/>
      </c>
      <c r="G35" s="10">
        <f>IF(($H$12*(A35/$C$7))&lt;0.01, $H$14, MIN(45, $H$14 + 100 * ((4/PI()) * ((1 + $H$12*(A35/$C$7))/($H$12*(A35/$C$7))) * (1 - LN(1 + $H$12*(A35/$C$7))/($H$12*(A35/$C$7))) - (2/PI()))))</f>
        <v/>
      </c>
      <c r="H35" s="26" t="n"/>
      <c r="I35" s="27" t="n"/>
      <c r="J35" s="25">
        <f>IF(ISBLANK(H35), "", C35 - H35)</f>
        <v/>
      </c>
    </row>
    <row r="36">
      <c r="A36" s="22" t="n">
        <v>2.511886431509582e-06</v>
      </c>
      <c r="B36" s="23">
        <f>A36*100</f>
        <v/>
      </c>
      <c r="C36" s="12">
        <f>MAX($H$11, 1 / (1 + $H$12 * (A36 / $C$7)))</f>
        <v/>
      </c>
      <c r="D36" s="23">
        <f>MAX($H$11, 1 / (1 + $H$12 * (A36 / $C$7))^2)</f>
        <v/>
      </c>
      <c r="E36" s="24">
        <f>C36 * $H$9</f>
        <v/>
      </c>
      <c r="F36" s="25">
        <f>E36 * A36</f>
        <v/>
      </c>
      <c r="G36" s="10">
        <f>IF(($H$12*(A36/$C$7))&lt;0.01, $H$14, MIN(45, $H$14 + 100 * ((4/PI()) * ((1 + $H$12*(A36/$C$7))/($H$12*(A36/$C$7))) * (1 - LN(1 + $H$12*(A36/$C$7))/($H$12*(A36/$C$7))) - (2/PI()))))</f>
        <v/>
      </c>
      <c r="H36" s="26" t="n"/>
      <c r="I36" s="27" t="n"/>
      <c r="J36" s="25">
        <f>IF(ISBLANK(H36), "", C36 - H36)</f>
        <v/>
      </c>
    </row>
    <row r="37">
      <c r="A37" s="22" t="n">
        <v>3.162277660168379e-06</v>
      </c>
      <c r="B37" s="23">
        <f>A37*100</f>
        <v/>
      </c>
      <c r="C37" s="12">
        <f>MAX($H$11, 1 / (1 + $H$12 * (A37 / $C$7)))</f>
        <v/>
      </c>
      <c r="D37" s="23">
        <f>MAX($H$11, 1 / (1 + $H$12 * (A37 / $C$7))^2)</f>
        <v/>
      </c>
      <c r="E37" s="24">
        <f>C37 * $H$9</f>
        <v/>
      </c>
      <c r="F37" s="25">
        <f>E37 * A37</f>
        <v/>
      </c>
      <c r="G37" s="10">
        <f>IF(($H$12*(A37/$C$7))&lt;0.01, $H$14, MIN(45, $H$14 + 100 * ((4/PI()) * ((1 + $H$12*(A37/$C$7))/($H$12*(A37/$C$7))) * (1 - LN(1 + $H$12*(A37/$C$7))/($H$12*(A37/$C$7))) - (2/PI()))))</f>
        <v/>
      </c>
      <c r="H37" s="26" t="n">
        <v>0.998</v>
      </c>
      <c r="I37" s="27" t="n">
        <v>0.6</v>
      </c>
      <c r="J37" s="25">
        <f>IF(ISBLANK(H37), "", C37 - H37)</f>
        <v/>
      </c>
    </row>
    <row r="38">
      <c r="A38" s="22" t="n">
        <v>3.981071705534969e-06</v>
      </c>
      <c r="B38" s="23">
        <f>A38*100</f>
        <v/>
      </c>
      <c r="C38" s="12">
        <f>MAX($H$11, 1 / (1 + $H$12 * (A38 / $C$7)))</f>
        <v/>
      </c>
      <c r="D38" s="23">
        <f>MAX($H$11, 1 / (1 + $H$12 * (A38 / $C$7))^2)</f>
        <v/>
      </c>
      <c r="E38" s="24">
        <f>C38 * $H$9</f>
        <v/>
      </c>
      <c r="F38" s="25">
        <f>E38 * A38</f>
        <v/>
      </c>
      <c r="G38" s="10">
        <f>IF(($H$12*(A38/$C$7))&lt;0.01, $H$14, MIN(45, $H$14 + 100 * ((4/PI()) * ((1 + $H$12*(A38/$C$7))/($H$12*(A38/$C$7))) * (1 - LN(1 + $H$12*(A38/$C$7))/($H$12*(A38/$C$7))) - (2/PI()))))</f>
        <v/>
      </c>
      <c r="H38" s="26" t="n"/>
      <c r="I38" s="27" t="n"/>
      <c r="J38" s="25">
        <f>IF(ISBLANK(H38), "", C38 - H38)</f>
        <v/>
      </c>
    </row>
    <row r="39">
      <c r="A39" s="22" t="n">
        <v>5.011872336272725e-06</v>
      </c>
      <c r="B39" s="23">
        <f>A39*100</f>
        <v/>
      </c>
      <c r="C39" s="12">
        <f>MAX($H$11, 1 / (1 + $H$12 * (A39 / $C$7)))</f>
        <v/>
      </c>
      <c r="D39" s="23">
        <f>MAX($H$11, 1 / (1 + $H$12 * (A39 / $C$7))^2)</f>
        <v/>
      </c>
      <c r="E39" s="24">
        <f>C39 * $H$9</f>
        <v/>
      </c>
      <c r="F39" s="25">
        <f>E39 * A39</f>
        <v/>
      </c>
      <c r="G39" s="10">
        <f>IF(($H$12*(A39/$C$7))&lt;0.01, $H$14, MIN(45, $H$14 + 100 * ((4/PI()) * ((1 + $H$12*(A39/$C$7))/($H$12*(A39/$C$7))) * (1 - LN(1 + $H$12*(A39/$C$7))/($H$12*(A39/$C$7))) - (2/PI()))))</f>
        <v/>
      </c>
      <c r="H39" s="26" t="n"/>
      <c r="I39" s="27" t="n"/>
      <c r="J39" s="25">
        <f>IF(ISBLANK(H39), "", C39 - H39)</f>
        <v/>
      </c>
    </row>
    <row r="40">
      <c r="A40" s="22" t="n">
        <v>6.30957344480193e-06</v>
      </c>
      <c r="B40" s="23">
        <f>A40*100</f>
        <v/>
      </c>
      <c r="C40" s="12">
        <f>MAX($H$11, 1 / (1 + $H$12 * (A40 / $C$7)))</f>
        <v/>
      </c>
      <c r="D40" s="23">
        <f>MAX($H$11, 1 / (1 + $H$12 * (A40 / $C$7))^2)</f>
        <v/>
      </c>
      <c r="E40" s="24">
        <f>C40 * $H$9</f>
        <v/>
      </c>
      <c r="F40" s="25">
        <f>E40 * A40</f>
        <v/>
      </c>
      <c r="G40" s="10">
        <f>IF(($H$12*(A40/$C$7))&lt;0.01, $H$14, MIN(45, $H$14 + 100 * ((4/PI()) * ((1 + $H$12*(A40/$C$7))/($H$12*(A40/$C$7))) * (1 - LN(1 + $H$12*(A40/$C$7))/($H$12*(A40/$C$7))) - (2/PI()))))</f>
        <v/>
      </c>
      <c r="H40" s="26" t="n"/>
      <c r="I40" s="27" t="n"/>
      <c r="J40" s="25">
        <f>IF(ISBLANK(H40), "", C40 - H40)</f>
        <v/>
      </c>
    </row>
    <row r="41">
      <c r="A41" s="22" t="n">
        <v>7.943282347242822e-06</v>
      </c>
      <c r="B41" s="23">
        <f>A41*100</f>
        <v/>
      </c>
      <c r="C41" s="12">
        <f>MAX($H$11, 1 / (1 + $H$12 * (A41 / $C$7)))</f>
        <v/>
      </c>
      <c r="D41" s="23">
        <f>MAX($H$11, 1 / (1 + $H$12 * (A41 / $C$7))^2)</f>
        <v/>
      </c>
      <c r="E41" s="24">
        <f>C41 * $H$9</f>
        <v/>
      </c>
      <c r="F41" s="25">
        <f>E41 * A41</f>
        <v/>
      </c>
      <c r="G41" s="10">
        <f>IF(($H$12*(A41/$C$7))&lt;0.01, $H$14, MIN(45, $H$14 + 100 * ((4/PI()) * ((1 + $H$12*(A41/$C$7))/($H$12*(A41/$C$7))) * (1 - LN(1 + $H$12*(A41/$C$7))/($H$12*(A41/$C$7))) - (2/PI()))))</f>
        <v/>
      </c>
      <c r="H41" s="26" t="n"/>
      <c r="I41" s="27" t="n"/>
      <c r="J41" s="25">
        <f>IF(ISBLANK(H41), "", C41 - H41)</f>
        <v/>
      </c>
    </row>
    <row r="42">
      <c r="A42" s="22" t="n">
        <v>1e-05</v>
      </c>
      <c r="B42" s="23">
        <f>A42*100</f>
        <v/>
      </c>
      <c r="C42" s="12">
        <f>MAX($H$11, 1 / (1 + $H$12 * (A42 / $C$7)))</f>
        <v/>
      </c>
      <c r="D42" s="23">
        <f>MAX($H$11, 1 / (1 + $H$12 * (A42 / $C$7))^2)</f>
        <v/>
      </c>
      <c r="E42" s="24">
        <f>C42 * $H$9</f>
        <v/>
      </c>
      <c r="F42" s="25">
        <f>E42 * A42</f>
        <v/>
      </c>
      <c r="G42" s="10">
        <f>IF(($H$12*(A42/$C$7))&lt;0.01, $H$14, MIN(45, $H$14 + 100 * ((4/PI()) * ((1 + $H$12*(A42/$C$7))/($H$12*(A42/$C$7))) * (1 - LN(1 + $H$12*(A42/$C$7))/($H$12*(A42/$C$7))) - (2/PI()))))</f>
        <v/>
      </c>
      <c r="H42" s="26" t="n">
        <v>0.992</v>
      </c>
      <c r="I42" s="27" t="n">
        <v>0.8</v>
      </c>
      <c r="J42" s="25">
        <f>IF(ISBLANK(H42), "", C42 - H42)</f>
        <v/>
      </c>
    </row>
    <row r="43">
      <c r="A43" s="22" t="n">
        <v>1.258925411794166e-05</v>
      </c>
      <c r="B43" s="23">
        <f>A43*100</f>
        <v/>
      </c>
      <c r="C43" s="12">
        <f>MAX($H$11, 1 / (1 + $H$12 * (A43 / $C$7)))</f>
        <v/>
      </c>
      <c r="D43" s="23">
        <f>MAX($H$11, 1 / (1 + $H$12 * (A43 / $C$7))^2)</f>
        <v/>
      </c>
      <c r="E43" s="24">
        <f>C43 * $H$9</f>
        <v/>
      </c>
      <c r="F43" s="25">
        <f>E43 * A43</f>
        <v/>
      </c>
      <c r="G43" s="10">
        <f>IF(($H$12*(A43/$C$7))&lt;0.01, $H$14, MIN(45, $H$14 + 100 * ((4/PI()) * ((1 + $H$12*(A43/$C$7))/($H$12*(A43/$C$7))) * (1 - LN(1 + $H$12*(A43/$C$7))/($H$12*(A43/$C$7))) - (2/PI()))))</f>
        <v/>
      </c>
      <c r="H43" s="26" t="n"/>
      <c r="I43" s="27" t="n"/>
      <c r="J43" s="25">
        <f>IF(ISBLANK(H43), "", C43 - H43)</f>
        <v/>
      </c>
    </row>
    <row r="44">
      <c r="A44" s="22" t="n">
        <v>1.584893192461114e-05</v>
      </c>
      <c r="B44" s="23">
        <f>A44*100</f>
        <v/>
      </c>
      <c r="C44" s="12">
        <f>MAX($H$11, 1 / (1 + $H$12 * (A44 / $C$7)))</f>
        <v/>
      </c>
      <c r="D44" s="23">
        <f>MAX($H$11, 1 / (1 + $H$12 * (A44 / $C$7))^2)</f>
        <v/>
      </c>
      <c r="E44" s="24">
        <f>C44 * $H$9</f>
        <v/>
      </c>
      <c r="F44" s="25">
        <f>E44 * A44</f>
        <v/>
      </c>
      <c r="G44" s="10">
        <f>IF(($H$12*(A44/$C$7))&lt;0.01, $H$14, MIN(45, $H$14 + 100 * ((4/PI()) * ((1 + $H$12*(A44/$C$7))/($H$12*(A44/$C$7))) * (1 - LN(1 + $H$12*(A44/$C$7))/($H$12*(A44/$C$7))) - (2/PI()))))</f>
        <v/>
      </c>
      <c r="H44" s="26" t="n"/>
      <c r="I44" s="27" t="n"/>
      <c r="J44" s="25">
        <f>IF(ISBLANK(H44), "", C44 - H44)</f>
        <v/>
      </c>
    </row>
    <row r="45">
      <c r="A45" s="22" t="n">
        <v>1.995262314968879e-05</v>
      </c>
      <c r="B45" s="23">
        <f>A45*100</f>
        <v/>
      </c>
      <c r="C45" s="12">
        <f>MAX($H$11, 1 / (1 + $H$12 * (A45 / $C$7)))</f>
        <v/>
      </c>
      <c r="D45" s="23">
        <f>MAX($H$11, 1 / (1 + $H$12 * (A45 / $C$7))^2)</f>
        <v/>
      </c>
      <c r="E45" s="24">
        <f>C45 * $H$9</f>
        <v/>
      </c>
      <c r="F45" s="25">
        <f>E45 * A45</f>
        <v/>
      </c>
      <c r="G45" s="10">
        <f>IF(($H$12*(A45/$C$7))&lt;0.01, $H$14, MIN(45, $H$14 + 100 * ((4/PI()) * ((1 + $H$12*(A45/$C$7))/($H$12*(A45/$C$7))) * (1 - LN(1 + $H$12*(A45/$C$7))/($H$12*(A45/$C$7))) - (2/PI()))))</f>
        <v/>
      </c>
      <c r="H45" s="26" t="n"/>
      <c r="I45" s="27" t="n"/>
      <c r="J45" s="25">
        <f>IF(ISBLANK(H45), "", C45 - H45)</f>
        <v/>
      </c>
    </row>
    <row r="46">
      <c r="A46" s="22" t="n">
        <v>2.511886431509582e-05</v>
      </c>
      <c r="B46" s="23">
        <f>A46*100</f>
        <v/>
      </c>
      <c r="C46" s="12">
        <f>MAX($H$11, 1 / (1 + $H$12 * (A46 / $C$7)))</f>
        <v/>
      </c>
      <c r="D46" s="23">
        <f>MAX($H$11, 1 / (1 + $H$12 * (A46 / $C$7))^2)</f>
        <v/>
      </c>
      <c r="E46" s="24">
        <f>C46 * $H$9</f>
        <v/>
      </c>
      <c r="F46" s="25">
        <f>E46 * A46</f>
        <v/>
      </c>
      <c r="G46" s="10">
        <f>IF(($H$12*(A46/$C$7))&lt;0.01, $H$14, MIN(45, $H$14 + 100 * ((4/PI()) * ((1 + $H$12*(A46/$C$7))/($H$12*(A46/$C$7))) * (1 - LN(1 + $H$12*(A46/$C$7))/($H$12*(A46/$C$7))) - (2/PI()))))</f>
        <v/>
      </c>
      <c r="H46" s="26" t="n"/>
      <c r="I46" s="27" t="n"/>
      <c r="J46" s="25">
        <f>IF(ISBLANK(H46), "", C46 - H46)</f>
        <v/>
      </c>
    </row>
    <row r="47">
      <c r="A47" s="22" t="n">
        <v>3.16227766016838e-05</v>
      </c>
      <c r="B47" s="23">
        <f>A47*100</f>
        <v/>
      </c>
      <c r="C47" s="12">
        <f>MAX($H$11, 1 / (1 + $H$12 * (A47 / $C$7)))</f>
        <v/>
      </c>
      <c r="D47" s="23">
        <f>MAX($H$11, 1 / (1 + $H$12 * (A47 / $C$7))^2)</f>
        <v/>
      </c>
      <c r="E47" s="24">
        <f>C47 * $H$9</f>
        <v/>
      </c>
      <c r="F47" s="25">
        <f>E47 * A47</f>
        <v/>
      </c>
      <c r="G47" s="10">
        <f>IF(($H$12*(A47/$C$7))&lt;0.01, $H$14, MIN(45, $H$14 + 100 * ((4/PI()) * ((1 + $H$12*(A47/$C$7))/($H$12*(A47/$C$7))) * (1 - LN(1 + $H$12*(A47/$C$7))/($H$12*(A47/$C$7))) - (2/PI()))))</f>
        <v/>
      </c>
      <c r="H47" s="26" t="n">
        <v>0.955</v>
      </c>
      <c r="I47" s="27" t="n">
        <v>1.8</v>
      </c>
      <c r="J47" s="25">
        <f>IF(ISBLANK(H47), "", C47 - H47)</f>
        <v/>
      </c>
    </row>
    <row r="48">
      <c r="A48" s="22" t="n">
        <v>3.981071705534969e-05</v>
      </c>
      <c r="B48" s="23">
        <f>A48*100</f>
        <v/>
      </c>
      <c r="C48" s="12">
        <f>MAX($H$11, 1 / (1 + $H$12 * (A48 / $C$7)))</f>
        <v/>
      </c>
      <c r="D48" s="23">
        <f>MAX($H$11, 1 / (1 + $H$12 * (A48 / $C$7))^2)</f>
        <v/>
      </c>
      <c r="E48" s="24">
        <f>C48 * $H$9</f>
        <v/>
      </c>
      <c r="F48" s="25">
        <f>E48 * A48</f>
        <v/>
      </c>
      <c r="G48" s="10">
        <f>IF(($H$12*(A48/$C$7))&lt;0.01, $H$14, MIN(45, $H$14 + 100 * ((4/PI()) * ((1 + $H$12*(A48/$C$7))/($H$12*(A48/$C$7))) * (1 - LN(1 + $H$12*(A48/$C$7))/($H$12*(A48/$C$7))) - (2/PI()))))</f>
        <v/>
      </c>
      <c r="H48" s="26" t="n"/>
      <c r="I48" s="27" t="n"/>
      <c r="J48" s="25">
        <f>IF(ISBLANK(H48), "", C48 - H48)</f>
        <v/>
      </c>
    </row>
    <row r="49">
      <c r="A49" s="22" t="n">
        <v>5.011872336272725e-05</v>
      </c>
      <c r="B49" s="23">
        <f>A49*100</f>
        <v/>
      </c>
      <c r="C49" s="12">
        <f>MAX($H$11, 1 / (1 + $H$12 * (A49 / $C$7)))</f>
        <v/>
      </c>
      <c r="D49" s="23">
        <f>MAX($H$11, 1 / (1 + $H$12 * (A49 / $C$7))^2)</f>
        <v/>
      </c>
      <c r="E49" s="24">
        <f>C49 * $H$9</f>
        <v/>
      </c>
      <c r="F49" s="25">
        <f>E49 * A49</f>
        <v/>
      </c>
      <c r="G49" s="10">
        <f>IF(($H$12*(A49/$C$7))&lt;0.01, $H$14, MIN(45, $H$14 + 100 * ((4/PI()) * ((1 + $H$12*(A49/$C$7))/($H$12*(A49/$C$7))) * (1 - LN(1 + $H$12*(A49/$C$7))/($H$12*(A49/$C$7))) - (2/PI()))))</f>
        <v/>
      </c>
      <c r="H49" s="26" t="n"/>
      <c r="I49" s="27" t="n"/>
      <c r="J49" s="25">
        <f>IF(ISBLANK(H49), "", C49 - H49)</f>
        <v/>
      </c>
    </row>
    <row r="50">
      <c r="A50" s="22" t="n">
        <v>6.309573444801929e-05</v>
      </c>
      <c r="B50" s="23">
        <f>A50*100</f>
        <v/>
      </c>
      <c r="C50" s="12">
        <f>MAX($H$11, 1 / (1 + $H$12 * (A50 / $C$7)))</f>
        <v/>
      </c>
      <c r="D50" s="23">
        <f>MAX($H$11, 1 / (1 + $H$12 * (A50 / $C$7))^2)</f>
        <v/>
      </c>
      <c r="E50" s="24">
        <f>C50 * $H$9</f>
        <v/>
      </c>
      <c r="F50" s="25">
        <f>E50 * A50</f>
        <v/>
      </c>
      <c r="G50" s="10">
        <f>IF(($H$12*(A50/$C$7))&lt;0.01, $H$14, MIN(45, $H$14 + 100 * ((4/PI()) * ((1 + $H$12*(A50/$C$7))/($H$12*(A50/$C$7))) * (1 - LN(1 + $H$12*(A50/$C$7))/($H$12*(A50/$C$7))) - (2/PI()))))</f>
        <v/>
      </c>
      <c r="H50" s="26" t="n"/>
      <c r="I50" s="27" t="n"/>
      <c r="J50" s="25">
        <f>IF(ISBLANK(H50), "", C50 - H50)</f>
        <v/>
      </c>
    </row>
    <row r="51">
      <c r="A51" s="22" t="n">
        <v>7.943282347242822e-05</v>
      </c>
      <c r="B51" s="23">
        <f>A51*100</f>
        <v/>
      </c>
      <c r="C51" s="12">
        <f>MAX($H$11, 1 / (1 + $H$12 * (A51 / $C$7)))</f>
        <v/>
      </c>
      <c r="D51" s="23">
        <f>MAX($H$11, 1 / (1 + $H$12 * (A51 / $C$7))^2)</f>
        <v/>
      </c>
      <c r="E51" s="24">
        <f>C51 * $H$9</f>
        <v/>
      </c>
      <c r="F51" s="25">
        <f>E51 * A51</f>
        <v/>
      </c>
      <c r="G51" s="10">
        <f>IF(($H$12*(A51/$C$7))&lt;0.01, $H$14, MIN(45, $H$14 + 100 * ((4/PI()) * ((1 + $H$12*(A51/$C$7))/($H$12*(A51/$C$7))) * (1 - LN(1 + $H$12*(A51/$C$7))/($H$12*(A51/$C$7))) - (2/PI()))))</f>
        <v/>
      </c>
      <c r="H51" s="26" t="n"/>
      <c r="I51" s="27" t="n"/>
      <c r="J51" s="25">
        <f>IF(ISBLANK(H51), "", C51 - H51)</f>
        <v/>
      </c>
    </row>
    <row r="52">
      <c r="A52" s="22" t="n">
        <v>0.0001</v>
      </c>
      <c r="B52" s="23">
        <f>A52*100</f>
        <v/>
      </c>
      <c r="C52" s="12">
        <f>MAX($H$11, 1 / (1 + $H$12 * (A52 / $C$7)))</f>
        <v/>
      </c>
      <c r="D52" s="23">
        <f>MAX($H$11, 1 / (1 + $H$12 * (A52 / $C$7))^2)</f>
        <v/>
      </c>
      <c r="E52" s="24">
        <f>C52 * $H$9</f>
        <v/>
      </c>
      <c r="F52" s="25">
        <f>E52 * A52</f>
        <v/>
      </c>
      <c r="G52" s="10">
        <f>IF(($H$12*(A52/$C$7))&lt;0.01, $H$14, MIN(45, $H$14 + 100 * ((4/PI()) * ((1 + $H$12*(A52/$C$7))/($H$12*(A52/$C$7))) * (1 - LN(1 + $H$12*(A52/$C$7))/($H$12*(A52/$C$7))) - (2/PI()))))</f>
        <v/>
      </c>
      <c r="H52" s="26" t="n">
        <v>0.875</v>
      </c>
      <c r="I52" s="27" t="n">
        <v>3.2</v>
      </c>
      <c r="J52" s="25">
        <f>IF(ISBLANK(H52), "", C52 - H52)</f>
        <v/>
      </c>
    </row>
    <row r="53">
      <c r="A53" s="22" t="n">
        <v>0.0001258925411794167</v>
      </c>
      <c r="B53" s="23">
        <f>A53*100</f>
        <v/>
      </c>
      <c r="C53" s="12">
        <f>MAX($H$11, 1 / (1 + $H$12 * (A53 / $C$7)))</f>
        <v/>
      </c>
      <c r="D53" s="23">
        <f>MAX($H$11, 1 / (1 + $H$12 * (A53 / $C$7))^2)</f>
        <v/>
      </c>
      <c r="E53" s="24">
        <f>C53 * $H$9</f>
        <v/>
      </c>
      <c r="F53" s="25">
        <f>E53 * A53</f>
        <v/>
      </c>
      <c r="G53" s="10">
        <f>IF(($H$12*(A53/$C$7))&lt;0.01, $H$14, MIN(45, $H$14 + 100 * ((4/PI()) * ((1 + $H$12*(A53/$C$7))/($H$12*(A53/$C$7))) * (1 - LN(1 + $H$12*(A53/$C$7))/($H$12*(A53/$C$7))) - (2/PI()))))</f>
        <v/>
      </c>
      <c r="H53" s="26" t="n"/>
      <c r="I53" s="27" t="n"/>
      <c r="J53" s="25">
        <f>IF(ISBLANK(H53), "", C53 - H53)</f>
        <v/>
      </c>
    </row>
    <row r="54">
      <c r="A54" s="22" t="n">
        <v>0.0001584893192461114</v>
      </c>
      <c r="B54" s="23">
        <f>A54*100</f>
        <v/>
      </c>
      <c r="C54" s="12">
        <f>MAX($H$11, 1 / (1 + $H$12 * (A54 / $C$7)))</f>
        <v/>
      </c>
      <c r="D54" s="23">
        <f>MAX($H$11, 1 / (1 + $H$12 * (A54 / $C$7))^2)</f>
        <v/>
      </c>
      <c r="E54" s="24">
        <f>C54 * $H$9</f>
        <v/>
      </c>
      <c r="F54" s="25">
        <f>E54 * A54</f>
        <v/>
      </c>
      <c r="G54" s="10">
        <f>IF(($H$12*(A54/$C$7))&lt;0.01, $H$14, MIN(45, $H$14 + 100 * ((4/PI()) * ((1 + $H$12*(A54/$C$7))/($H$12*(A54/$C$7))) * (1 - LN(1 + $H$12*(A54/$C$7))/($H$12*(A54/$C$7))) - (2/PI()))))</f>
        <v/>
      </c>
      <c r="H54" s="26" t="n"/>
      <c r="I54" s="27" t="n"/>
      <c r="J54" s="25">
        <f>IF(ISBLANK(H54), "", C54 - H54)</f>
        <v/>
      </c>
    </row>
    <row r="55">
      <c r="A55" s="22" t="n">
        <v>0.0001995262314968881</v>
      </c>
      <c r="B55" s="23">
        <f>A55*100</f>
        <v/>
      </c>
      <c r="C55" s="12">
        <f>MAX($H$11, 1 / (1 + $H$12 * (A55 / $C$7)))</f>
        <v/>
      </c>
      <c r="D55" s="23">
        <f>MAX($H$11, 1 / (1 + $H$12 * (A55 / $C$7))^2)</f>
        <v/>
      </c>
      <c r="E55" s="24">
        <f>C55 * $H$9</f>
        <v/>
      </c>
      <c r="F55" s="25">
        <f>E55 * A55</f>
        <v/>
      </c>
      <c r="G55" s="10">
        <f>IF(($H$12*(A55/$C$7))&lt;0.01, $H$14, MIN(45, $H$14 + 100 * ((4/PI()) * ((1 + $H$12*(A55/$C$7))/($H$12*(A55/$C$7))) * (1 - LN(1 + $H$12*(A55/$C$7))/($H$12*(A55/$C$7))) - (2/PI()))))</f>
        <v/>
      </c>
      <c r="H55" s="26" t="n"/>
      <c r="I55" s="27" t="n"/>
      <c r="J55" s="25">
        <f>IF(ISBLANK(H55), "", C55 - H55)</f>
        <v/>
      </c>
    </row>
    <row r="56">
      <c r="A56" s="22" t="n">
        <v>0.0002511886431509582</v>
      </c>
      <c r="B56" s="23">
        <f>A56*100</f>
        <v/>
      </c>
      <c r="C56" s="12">
        <f>MAX($H$11, 1 / (1 + $H$12 * (A56 / $C$7)))</f>
        <v/>
      </c>
      <c r="D56" s="23">
        <f>MAX($H$11, 1 / (1 + $H$12 * (A56 / $C$7))^2)</f>
        <v/>
      </c>
      <c r="E56" s="24">
        <f>C56 * $H$9</f>
        <v/>
      </c>
      <c r="F56" s="25">
        <f>E56 * A56</f>
        <v/>
      </c>
      <c r="G56" s="10">
        <f>IF(($H$12*(A56/$C$7))&lt;0.01, $H$14, MIN(45, $H$14 + 100 * ((4/PI()) * ((1 + $H$12*(A56/$C$7))/($H$12*(A56/$C$7))) * (1 - LN(1 + $H$12*(A56/$C$7))/($H$12*(A56/$C$7))) - (2/PI()))))</f>
        <v/>
      </c>
      <c r="H56" s="26" t="n"/>
      <c r="I56" s="27" t="n"/>
      <c r="J56" s="25">
        <f>IF(ISBLANK(H56), "", C56 - H56)</f>
        <v/>
      </c>
    </row>
    <row r="57">
      <c r="A57" s="22" t="n">
        <v>0.0003162277660168379</v>
      </c>
      <c r="B57" s="23">
        <f>A57*100</f>
        <v/>
      </c>
      <c r="C57" s="12">
        <f>MAX($H$11, 1 / (1 + $H$12 * (A57 / $C$7)))</f>
        <v/>
      </c>
      <c r="D57" s="23">
        <f>MAX($H$11, 1 / (1 + $H$12 * (A57 / $C$7))^2)</f>
        <v/>
      </c>
      <c r="E57" s="24">
        <f>C57 * $H$9</f>
        <v/>
      </c>
      <c r="F57" s="25">
        <f>E57 * A57</f>
        <v/>
      </c>
      <c r="G57" s="10">
        <f>IF(($H$12*(A57/$C$7))&lt;0.01, $H$14, MIN(45, $H$14 + 100 * ((4/PI()) * ((1 + $H$12*(A57/$C$7))/($H$12*(A57/$C$7))) * (1 - LN(1 + $H$12*(A57/$C$7))/($H$12*(A57/$C$7))) - (2/PI()))))</f>
        <v/>
      </c>
      <c r="H57" s="26" t="n">
        <v>0.71</v>
      </c>
      <c r="I57" s="27" t="n">
        <v>9.5</v>
      </c>
      <c r="J57" s="25">
        <f>IF(ISBLANK(H57), "", C57 - H57)</f>
        <v/>
      </c>
    </row>
    <row r="58">
      <c r="A58" s="22" t="n">
        <v>0.0003981071705534974</v>
      </c>
      <c r="B58" s="23">
        <f>A58*100</f>
        <v/>
      </c>
      <c r="C58" s="12">
        <f>MAX($H$11, 1 / (1 + $H$12 * (A58 / $C$7)))</f>
        <v/>
      </c>
      <c r="D58" s="23">
        <f>MAX($H$11, 1 / (1 + $H$12 * (A58 / $C$7))^2)</f>
        <v/>
      </c>
      <c r="E58" s="24">
        <f>C58 * $H$9</f>
        <v/>
      </c>
      <c r="F58" s="25">
        <f>E58 * A58</f>
        <v/>
      </c>
      <c r="G58" s="10">
        <f>IF(($H$12*(A58/$C$7))&lt;0.01, $H$14, MIN(45, $H$14 + 100 * ((4/PI()) * ((1 + $H$12*(A58/$C$7))/($H$12*(A58/$C$7))) * (1 - LN(1 + $H$12*(A58/$C$7))/($H$12*(A58/$C$7))) - (2/PI()))))</f>
        <v/>
      </c>
      <c r="H58" s="26" t="n"/>
      <c r="I58" s="27" t="n"/>
      <c r="J58" s="25">
        <f>IF(ISBLANK(H58), "", C58 - H58)</f>
        <v/>
      </c>
    </row>
    <row r="59">
      <c r="A59" s="22" t="n">
        <v>0.0005011872336272725</v>
      </c>
      <c r="B59" s="23">
        <f>A59*100</f>
        <v/>
      </c>
      <c r="C59" s="12">
        <f>MAX($H$11, 1 / (1 + $H$12 * (A59 / $C$7)))</f>
        <v/>
      </c>
      <c r="D59" s="23">
        <f>MAX($H$11, 1 / (1 + $H$12 * (A59 / $C$7))^2)</f>
        <v/>
      </c>
      <c r="E59" s="24">
        <f>C59 * $H$9</f>
        <v/>
      </c>
      <c r="F59" s="25">
        <f>E59 * A59</f>
        <v/>
      </c>
      <c r="G59" s="10">
        <f>IF(($H$12*(A59/$C$7))&lt;0.01, $H$14, MIN(45, $H$14 + 100 * ((4/PI()) * ((1 + $H$12*(A59/$C$7))/($H$12*(A59/$C$7))) * (1 - LN(1 + $H$12*(A59/$C$7))/($H$12*(A59/$C$7))) - (2/PI()))))</f>
        <v/>
      </c>
      <c r="H59" s="26" t="n"/>
      <c r="I59" s="27" t="n"/>
      <c r="J59" s="25">
        <f>IF(ISBLANK(H59), "", C59 - H59)</f>
        <v/>
      </c>
    </row>
    <row r="60">
      <c r="A60" s="22" t="n">
        <v>0.0006309573444801936</v>
      </c>
      <c r="B60" s="23">
        <f>A60*100</f>
        <v/>
      </c>
      <c r="C60" s="12">
        <f>MAX($H$11, 1 / (1 + $H$12 * (A60 / $C$7)))</f>
        <v/>
      </c>
      <c r="D60" s="23">
        <f>MAX($H$11, 1 / (1 + $H$12 * (A60 / $C$7))^2)</f>
        <v/>
      </c>
      <c r="E60" s="24">
        <f>C60 * $H$9</f>
        <v/>
      </c>
      <c r="F60" s="25">
        <f>E60 * A60</f>
        <v/>
      </c>
      <c r="G60" s="10">
        <f>IF(($H$12*(A60/$C$7))&lt;0.01, $H$14, MIN(45, $H$14 + 100 * ((4/PI()) * ((1 + $H$12*(A60/$C$7))/($H$12*(A60/$C$7))) * (1 - LN(1 + $H$12*(A60/$C$7))/($H$12*(A60/$C$7))) - (2/PI()))))</f>
        <v/>
      </c>
      <c r="H60" s="26" t="n"/>
      <c r="I60" s="27" t="n"/>
      <c r="J60" s="25">
        <f>IF(ISBLANK(H60), "", C60 - H60)</f>
        <v/>
      </c>
    </row>
    <row r="61">
      <c r="A61" s="22" t="n">
        <v>0.0007943282347242822</v>
      </c>
      <c r="B61" s="23">
        <f>A61*100</f>
        <v/>
      </c>
      <c r="C61" s="12">
        <f>MAX($H$11, 1 / (1 + $H$12 * (A61 / $C$7)))</f>
        <v/>
      </c>
      <c r="D61" s="23">
        <f>MAX($H$11, 1 / (1 + $H$12 * (A61 / $C$7))^2)</f>
        <v/>
      </c>
      <c r="E61" s="24">
        <f>C61 * $H$9</f>
        <v/>
      </c>
      <c r="F61" s="25">
        <f>E61 * A61</f>
        <v/>
      </c>
      <c r="G61" s="10">
        <f>IF(($H$12*(A61/$C$7))&lt;0.01, $H$14, MIN(45, $H$14 + 100 * ((4/PI()) * ((1 + $H$12*(A61/$C$7))/($H$12*(A61/$C$7))) * (1 - LN(1 + $H$12*(A61/$C$7))/($H$12*(A61/$C$7))) - (2/PI()))))</f>
        <v/>
      </c>
      <c r="H61" s="26" t="n"/>
      <c r="I61" s="27" t="n"/>
      <c r="J61" s="25">
        <f>IF(ISBLANK(H61), "", C61 - H61)</f>
        <v/>
      </c>
    </row>
    <row r="62">
      <c r="A62" s="22" t="n">
        <v>0.001</v>
      </c>
      <c r="B62" s="23">
        <f>A62*100</f>
        <v/>
      </c>
      <c r="C62" s="12">
        <f>MAX($H$11, 1 / (1 + $H$12 * (A62 / $C$7)))</f>
        <v/>
      </c>
      <c r="D62" s="23">
        <f>MAX($H$11, 1 / (1 + $H$12 * (A62 / $C$7))^2)</f>
        <v/>
      </c>
      <c r="E62" s="24">
        <f>C62 * $H$9</f>
        <v/>
      </c>
      <c r="F62" s="25">
        <f>E62 * A62</f>
        <v/>
      </c>
      <c r="G62" s="10">
        <f>IF(($H$12*(A62/$C$7))&lt;0.01, $H$14, MIN(45, $H$14 + 100 * ((4/PI()) * ((1 + $H$12*(A62/$C$7))/($H$12*(A62/$C$7))) * (1 - LN(1 + $H$12*(A62/$C$7))/($H$12*(A62/$C$7))) - (2/PI()))))</f>
        <v/>
      </c>
      <c r="H62" s="26" t="n">
        <v>0.38</v>
      </c>
      <c r="I62" s="27" t="n">
        <v>28</v>
      </c>
      <c r="J62" s="25">
        <f>IF(ISBLANK(H62), "", C62 - H62)</f>
        <v/>
      </c>
    </row>
    <row r="63">
      <c r="A63" s="22" t="n">
        <v>0.001258925411794167</v>
      </c>
      <c r="B63" s="23">
        <f>A63*100</f>
        <v/>
      </c>
      <c r="C63" s="12">
        <f>MAX($H$11, 1 / (1 + $H$12 * (A63 / $C$7)))</f>
        <v/>
      </c>
      <c r="D63" s="23">
        <f>MAX($H$11, 1 / (1 + $H$12 * (A63 / $C$7))^2)</f>
        <v/>
      </c>
      <c r="E63" s="24">
        <f>C63 * $H$9</f>
        <v/>
      </c>
      <c r="F63" s="25">
        <f>E63 * A63</f>
        <v/>
      </c>
      <c r="G63" s="10">
        <f>IF(($H$12*(A63/$C$7))&lt;0.01, $H$14, MIN(45, $H$14 + 100 * ((4/PI()) * ((1 + $H$12*(A63/$C$7))/($H$12*(A63/$C$7))) * (1 - LN(1 + $H$12*(A63/$C$7))/($H$12*(A63/$C$7))) - (2/PI()))))</f>
        <v/>
      </c>
      <c r="H63" s="26" t="n"/>
      <c r="I63" s="27" t="n"/>
      <c r="J63" s="25">
        <f>IF(ISBLANK(H63), "", C63 - H63)</f>
        <v/>
      </c>
    </row>
    <row r="64">
      <c r="A64" s="22" t="n">
        <v>0.001584893192461114</v>
      </c>
      <c r="B64" s="23">
        <f>A64*100</f>
        <v/>
      </c>
      <c r="C64" s="12">
        <f>MAX($H$11, 1 / (1 + $H$12 * (A64 / $C$7)))</f>
        <v/>
      </c>
      <c r="D64" s="23">
        <f>MAX($H$11, 1 / (1 + $H$12 * (A64 / $C$7))^2)</f>
        <v/>
      </c>
      <c r="E64" s="24">
        <f>C64 * $H$9</f>
        <v/>
      </c>
      <c r="F64" s="25">
        <f>E64 * A64</f>
        <v/>
      </c>
      <c r="G64" s="10">
        <f>IF(($H$12*(A64/$C$7))&lt;0.01, $H$14, MIN(45, $H$14 + 100 * ((4/PI()) * ((1 + $H$12*(A64/$C$7))/($H$12*(A64/$C$7))) * (1 - LN(1 + $H$12*(A64/$C$7))/($H$12*(A64/$C$7))) - (2/PI()))))</f>
        <v/>
      </c>
      <c r="H64" s="26" t="n"/>
      <c r="I64" s="27" t="n"/>
      <c r="J64" s="25">
        <f>IF(ISBLANK(H64), "", C64 - H64)</f>
        <v/>
      </c>
    </row>
    <row r="65">
      <c r="A65" s="22" t="n">
        <v>0.001995262314968881</v>
      </c>
      <c r="B65" s="23">
        <f>A65*100</f>
        <v/>
      </c>
      <c r="C65" s="12">
        <f>MAX($H$11, 1 / (1 + $H$12 * (A65 / $C$7)))</f>
        <v/>
      </c>
      <c r="D65" s="23">
        <f>MAX($H$11, 1 / (1 + $H$12 * (A65 / $C$7))^2)</f>
        <v/>
      </c>
      <c r="E65" s="24">
        <f>C65 * $H$9</f>
        <v/>
      </c>
      <c r="F65" s="25">
        <f>E65 * A65</f>
        <v/>
      </c>
      <c r="G65" s="10">
        <f>IF(($H$12*(A65/$C$7))&lt;0.01, $H$14, MIN(45, $H$14 + 100 * ((4/PI()) * ((1 + $H$12*(A65/$C$7))/($H$12*(A65/$C$7))) * (1 - LN(1 + $H$12*(A65/$C$7))/($H$12*(A65/$C$7))) - (2/PI()))))</f>
        <v/>
      </c>
      <c r="H65" s="26" t="n"/>
      <c r="I65" s="27" t="n"/>
      <c r="J65" s="25">
        <f>IF(ISBLANK(H65), "", C65 - H65)</f>
        <v/>
      </c>
    </row>
    <row r="66">
      <c r="A66" s="22" t="n">
        <v>0.002511886431509582</v>
      </c>
      <c r="B66" s="23">
        <f>A66*100</f>
        <v/>
      </c>
      <c r="C66" s="12">
        <f>MAX($H$11, 1 / (1 + $H$12 * (A66 / $C$7)))</f>
        <v/>
      </c>
      <c r="D66" s="23">
        <f>MAX($H$11, 1 / (1 + $H$12 * (A66 / $C$7))^2)</f>
        <v/>
      </c>
      <c r="E66" s="24">
        <f>C66 * $H$9</f>
        <v/>
      </c>
      <c r="F66" s="25">
        <f>E66 * A66</f>
        <v/>
      </c>
      <c r="G66" s="10">
        <f>IF(($H$12*(A66/$C$7))&lt;0.01, $H$14, MIN(45, $H$14 + 100 * ((4/PI()) * ((1 + $H$12*(A66/$C$7))/($H$12*(A66/$C$7))) * (1 - LN(1 + $H$12*(A66/$C$7))/($H$12*(A66/$C$7))) - (2/PI()))))</f>
        <v/>
      </c>
      <c r="H66" s="26" t="n"/>
      <c r="I66" s="27" t="n"/>
      <c r="J66" s="25">
        <f>IF(ISBLANK(H66), "", C66 - H66)</f>
        <v/>
      </c>
    </row>
    <row r="67">
      <c r="A67" s="22" t="n">
        <v>0.003162277660168379</v>
      </c>
      <c r="B67" s="23">
        <f>A67*100</f>
        <v/>
      </c>
      <c r="C67" s="12">
        <f>MAX($H$11, 1 / (1 + $H$12 * (A67 / $C$7)))</f>
        <v/>
      </c>
      <c r="D67" s="23">
        <f>MAX($H$11, 1 / (1 + $H$12 * (A67 / $C$7))^2)</f>
        <v/>
      </c>
      <c r="E67" s="24">
        <f>C67 * $H$9</f>
        <v/>
      </c>
      <c r="F67" s="25">
        <f>E67 * A67</f>
        <v/>
      </c>
      <c r="G67" s="10">
        <f>IF(($H$12*(A67/$C$7))&lt;0.01, $H$14, MIN(45, $H$14 + 100 * ((4/PI()) * ((1 + $H$12*(A67/$C$7))/($H$12*(A67/$C$7))) * (1 - LN(1 + $H$12*(A67/$C$7))/($H$12*(A67/$C$7))) - (2/PI()))))</f>
        <v/>
      </c>
      <c r="H67" s="26" t="n">
        <v>0.18</v>
      </c>
      <c r="I67" s="27" t="n">
        <v>38.5</v>
      </c>
      <c r="J67" s="25">
        <f>IF(ISBLANK(H67), "", C67 - H67)</f>
        <v/>
      </c>
    </row>
    <row r="68">
      <c r="A68" s="22" t="n">
        <v>0.003981071705534973</v>
      </c>
      <c r="B68" s="23">
        <f>A68*100</f>
        <v/>
      </c>
      <c r="C68" s="12">
        <f>MAX($H$11, 1 / (1 + $H$12 * (A68 / $C$7)))</f>
        <v/>
      </c>
      <c r="D68" s="23">
        <f>MAX($H$11, 1 / (1 + $H$12 * (A68 / $C$7))^2)</f>
        <v/>
      </c>
      <c r="E68" s="24">
        <f>C68 * $H$9</f>
        <v/>
      </c>
      <c r="F68" s="25">
        <f>E68 * A68</f>
        <v/>
      </c>
      <c r="G68" s="10">
        <f>IF(($H$12*(A68/$C$7))&lt;0.01, $H$14, MIN(45, $H$14 + 100 * ((4/PI()) * ((1 + $H$12*(A68/$C$7))/($H$12*(A68/$C$7))) * (1 - LN(1 + $H$12*(A68/$C$7))/($H$12*(A68/$C$7))) - (2/PI()))))</f>
        <v/>
      </c>
      <c r="H68" s="26" t="n"/>
      <c r="I68" s="27" t="n"/>
      <c r="J68" s="25">
        <f>IF(ISBLANK(H68), "", C68 - H68)</f>
        <v/>
      </c>
    </row>
    <row r="69">
      <c r="A69" s="22" t="n">
        <v>0.005011872336272725</v>
      </c>
      <c r="B69" s="23">
        <f>A69*100</f>
        <v/>
      </c>
      <c r="C69" s="12">
        <f>MAX($H$11, 1 / (1 + $H$12 * (A69 / $C$7)))</f>
        <v/>
      </c>
      <c r="D69" s="23">
        <f>MAX($H$11, 1 / (1 + $H$12 * (A69 / $C$7))^2)</f>
        <v/>
      </c>
      <c r="E69" s="24">
        <f>C69 * $H$9</f>
        <v/>
      </c>
      <c r="F69" s="25">
        <f>E69 * A69</f>
        <v/>
      </c>
      <c r="G69" s="10">
        <f>IF(($H$12*(A69/$C$7))&lt;0.01, $H$14, MIN(45, $H$14 + 100 * ((4/PI()) * ((1 + $H$12*(A69/$C$7))/($H$12*(A69/$C$7))) * (1 - LN(1 + $H$12*(A69/$C$7))/($H$12*(A69/$C$7))) - (2/PI()))))</f>
        <v/>
      </c>
      <c r="H69" s="26" t="n"/>
      <c r="I69" s="27" t="n"/>
      <c r="J69" s="25">
        <f>IF(ISBLANK(H69), "", C69 - H69)</f>
        <v/>
      </c>
    </row>
    <row r="70">
      <c r="A70" s="22" t="n">
        <v>0.006309573444801936</v>
      </c>
      <c r="B70" s="23">
        <f>A70*100</f>
        <v/>
      </c>
      <c r="C70" s="12">
        <f>MAX($H$11, 1 / (1 + $H$12 * (A70 / $C$7)))</f>
        <v/>
      </c>
      <c r="D70" s="23">
        <f>MAX($H$11, 1 / (1 + $H$12 * (A70 / $C$7))^2)</f>
        <v/>
      </c>
      <c r="E70" s="24">
        <f>C70 * $H$9</f>
        <v/>
      </c>
      <c r="F70" s="25">
        <f>E70 * A70</f>
        <v/>
      </c>
      <c r="G70" s="10">
        <f>IF(($H$12*(A70/$C$7))&lt;0.01, $H$14, MIN(45, $H$14 + 100 * ((4/PI()) * ((1 + $H$12*(A70/$C$7))/($H$12*(A70/$C$7))) * (1 - LN(1 + $H$12*(A70/$C$7))/($H$12*(A70/$C$7))) - (2/PI()))))</f>
        <v/>
      </c>
      <c r="H70" s="26" t="n"/>
      <c r="I70" s="27" t="n"/>
      <c r="J70" s="25">
        <f>IF(ISBLANK(H70), "", C70 - H70)</f>
        <v/>
      </c>
    </row>
    <row r="71">
      <c r="A71" s="22" t="n">
        <v>0.007943282347242821</v>
      </c>
      <c r="B71" s="23">
        <f>A71*100</f>
        <v/>
      </c>
      <c r="C71" s="12">
        <f>MAX($H$11, 1 / (1 + $H$12 * (A71 / $C$7)))</f>
        <v/>
      </c>
      <c r="D71" s="23">
        <f>MAX($H$11, 1 / (1 + $H$12 * (A71 / $C$7))^2)</f>
        <v/>
      </c>
      <c r="E71" s="24">
        <f>C71 * $H$9</f>
        <v/>
      </c>
      <c r="F71" s="25">
        <f>E71 * A71</f>
        <v/>
      </c>
      <c r="G71" s="10">
        <f>IF(($H$12*(A71/$C$7))&lt;0.01, $H$14, MIN(45, $H$14 + 100 * ((4/PI()) * ((1 + $H$12*(A71/$C$7))/($H$12*(A71/$C$7))) * (1 - LN(1 + $H$12*(A71/$C$7))/($H$12*(A71/$C$7))) - (2/PI()))))</f>
        <v/>
      </c>
      <c r="H71" s="26" t="n"/>
      <c r="I71" s="27" t="n"/>
      <c r="J71" s="25">
        <f>IF(ISBLANK(H71), "", C71 - H71)</f>
        <v/>
      </c>
    </row>
    <row r="72">
      <c r="A72" s="22" t="n">
        <v>0.01</v>
      </c>
      <c r="B72" s="23">
        <f>A72*100</f>
        <v/>
      </c>
      <c r="C72" s="12">
        <f>MAX($H$11, 1 / (1 + $H$12 * (A72 / $C$7)))</f>
        <v/>
      </c>
      <c r="D72" s="23">
        <f>MAX($H$11, 1 / (1 + $H$12 * (A72 / $C$7))^2)</f>
        <v/>
      </c>
      <c r="E72" s="24">
        <f>C72 * $H$9</f>
        <v/>
      </c>
      <c r="F72" s="25">
        <f>E72 * A72</f>
        <v/>
      </c>
      <c r="G72" s="10">
        <f>IF(($H$12*(A72/$C$7))&lt;0.01, $H$14, MIN(45, $H$14 + 100 * ((4/PI()) * ((1 + $H$12*(A72/$C$7))/($H$12*(A72/$C$7))) * (1 - LN(1 + $H$12*(A72/$C$7))/($H$12*(A72/$C$7))) - (2/PI()))))</f>
        <v/>
      </c>
      <c r="H72" s="26" t="n">
        <v>0.075</v>
      </c>
      <c r="I72" s="27" t="n">
        <v>42</v>
      </c>
      <c r="J72" s="25">
        <f>IF(ISBLANK(H72), "", C72 - H72)</f>
        <v/>
      </c>
    </row>
    <row r="73">
      <c r="A73" s="22" t="n">
        <v>0.01258925411794169</v>
      </c>
      <c r="B73" s="23">
        <f>A73*100</f>
        <v/>
      </c>
      <c r="C73" s="12">
        <f>MAX($H$11, 1 / (1 + $H$12 * (A73 / $C$7)))</f>
        <v/>
      </c>
      <c r="D73" s="23">
        <f>MAX($H$11, 1 / (1 + $H$12 * (A73 / $C$7))^2)</f>
        <v/>
      </c>
      <c r="E73" s="24">
        <f>C73 * $H$9</f>
        <v/>
      </c>
      <c r="F73" s="25">
        <f>E73 * A73</f>
        <v/>
      </c>
      <c r="G73" s="10">
        <f>IF(($H$12*(A73/$C$7))&lt;0.01, $H$14, MIN(45, $H$14 + 100 * ((4/PI()) * ((1 + $H$12*(A73/$C$7))/($H$12*(A73/$C$7))) * (1 - LN(1 + $H$12*(A73/$C$7))/($H$12*(A73/$C$7))) - (2/PI()))))</f>
        <v/>
      </c>
      <c r="H73" s="26" t="n"/>
      <c r="I73" s="27" t="n"/>
      <c r="J73" s="25">
        <f>IF(ISBLANK(H73), "", C73 - H73)</f>
        <v/>
      </c>
    </row>
    <row r="74">
      <c r="A74" s="22" t="n">
        <v>0.01584893192461114</v>
      </c>
      <c r="B74" s="23">
        <f>A74*100</f>
        <v/>
      </c>
      <c r="C74" s="12">
        <f>MAX($H$11, 1 / (1 + $H$12 * (A74 / $C$7)))</f>
        <v/>
      </c>
      <c r="D74" s="23">
        <f>MAX($H$11, 1 / (1 + $H$12 * (A74 / $C$7))^2)</f>
        <v/>
      </c>
      <c r="E74" s="24">
        <f>C74 * $H$9</f>
        <v/>
      </c>
      <c r="F74" s="25">
        <f>E74 * A74</f>
        <v/>
      </c>
      <c r="G74" s="10">
        <f>IF(($H$12*(A74/$C$7))&lt;0.01, $H$14, MIN(45, $H$14 + 100 * ((4/PI()) * ((1 + $H$12*(A74/$C$7))/($H$12*(A74/$C$7))) * (1 - LN(1 + $H$12*(A74/$C$7))/($H$12*(A74/$C$7))) - (2/PI()))))</f>
        <v/>
      </c>
      <c r="H74" s="26" t="n"/>
      <c r="I74" s="27" t="n"/>
      <c r="J74" s="25">
        <f>IF(ISBLANK(H74), "", C74 - H74)</f>
        <v/>
      </c>
    </row>
    <row r="75">
      <c r="A75" s="22" t="n">
        <v>0.01995262314968879</v>
      </c>
      <c r="B75" s="23">
        <f>A75*100</f>
        <v/>
      </c>
      <c r="C75" s="12">
        <f>MAX($H$11, 1 / (1 + $H$12 * (A75 / $C$7)))</f>
        <v/>
      </c>
      <c r="D75" s="23">
        <f>MAX($H$11, 1 / (1 + $H$12 * (A75 / $C$7))^2)</f>
        <v/>
      </c>
      <c r="E75" s="24">
        <f>C75 * $H$9</f>
        <v/>
      </c>
      <c r="F75" s="25">
        <f>E75 * A75</f>
        <v/>
      </c>
      <c r="G75" s="10">
        <f>IF(($H$12*(A75/$C$7))&lt;0.01, $H$14, MIN(45, $H$14 + 100 * ((4/PI()) * ((1 + $H$12*(A75/$C$7))/($H$12*(A75/$C$7))) * (1 - LN(1 + $H$12*(A75/$C$7))/($H$12*(A75/$C$7))) - (2/PI()))))</f>
        <v/>
      </c>
      <c r="H75" s="26" t="n"/>
      <c r="I75" s="27" t="n"/>
      <c r="J75" s="25">
        <f>IF(ISBLANK(H75), "", C75 - H75)</f>
        <v/>
      </c>
    </row>
    <row r="76">
      <c r="A76" s="22" t="n">
        <v>0.02511886431509582</v>
      </c>
      <c r="B76" s="23">
        <f>A76*100</f>
        <v/>
      </c>
      <c r="C76" s="12">
        <f>MAX($H$11, 1 / (1 + $H$12 * (A76 / $C$7)))</f>
        <v/>
      </c>
      <c r="D76" s="23">
        <f>MAX($H$11, 1 / (1 + $H$12 * (A76 / $C$7))^2)</f>
        <v/>
      </c>
      <c r="E76" s="24">
        <f>C76 * $H$9</f>
        <v/>
      </c>
      <c r="F76" s="25">
        <f>E76 * A76</f>
        <v/>
      </c>
      <c r="G76" s="10">
        <f>IF(($H$12*(A76/$C$7))&lt;0.01, $H$14, MIN(45, $H$14 + 100 * ((4/PI()) * ((1 + $H$12*(A76/$C$7))/($H$12*(A76/$C$7))) * (1 - LN(1 + $H$12*(A76/$C$7))/($H$12*(A76/$C$7))) - (2/PI()))))</f>
        <v/>
      </c>
      <c r="H76" s="26" t="n"/>
      <c r="I76" s="27" t="n"/>
      <c r="J76" s="25">
        <f>IF(ISBLANK(H76), "", C76 - H76)</f>
        <v/>
      </c>
    </row>
    <row r="77">
      <c r="A77" s="22" t="n">
        <v>0.03162277660168379</v>
      </c>
      <c r="B77" s="23">
        <f>A77*100</f>
        <v/>
      </c>
      <c r="C77" s="12">
        <f>MAX($H$11, 1 / (1 + $H$12 * (A77 / $C$7)))</f>
        <v/>
      </c>
      <c r="D77" s="23">
        <f>MAX($H$11, 1 / (1 + $H$12 * (A77 / $C$7))^2)</f>
        <v/>
      </c>
      <c r="E77" s="24">
        <f>C77 * $H$9</f>
        <v/>
      </c>
      <c r="F77" s="25">
        <f>E77 * A77</f>
        <v/>
      </c>
      <c r="G77" s="10">
        <f>IF(($H$12*(A77/$C$7))&lt;0.01, $H$14, MIN(45, $H$14 + 100 * ((4/PI()) * ((1 + $H$12*(A77/$C$7))/($H$12*(A77/$C$7))) * (1 - LN(1 + $H$12*(A77/$C$7))/($H$12*(A77/$C$7))) - (2/PI()))))</f>
        <v/>
      </c>
      <c r="H77" s="26" t="n"/>
      <c r="I77" s="27" t="n"/>
      <c r="J77" s="25">
        <f>IF(ISBLANK(H77), "", C77 - H77)</f>
        <v/>
      </c>
    </row>
    <row r="78">
      <c r="A78" s="22" t="n">
        <v>0.03981071705534978</v>
      </c>
      <c r="B78" s="23">
        <f>A78*100</f>
        <v/>
      </c>
      <c r="C78" s="12">
        <f>MAX($H$11, 1 / (1 + $H$12 * (A78 / $C$7)))</f>
        <v/>
      </c>
      <c r="D78" s="23">
        <f>MAX($H$11, 1 / (1 + $H$12 * (A78 / $C$7))^2)</f>
        <v/>
      </c>
      <c r="E78" s="24">
        <f>C78 * $H$9</f>
        <v/>
      </c>
      <c r="F78" s="25">
        <f>E78 * A78</f>
        <v/>
      </c>
      <c r="G78" s="10">
        <f>IF(($H$12*(A78/$C$7))&lt;0.01, $H$14, MIN(45, $H$14 + 100 * ((4/PI()) * ((1 + $H$12*(A78/$C$7))/($H$12*(A78/$C$7))) * (1 - LN(1 + $H$12*(A78/$C$7))/($H$12*(A78/$C$7))) - (2/PI()))))</f>
        <v/>
      </c>
      <c r="H78" s="26" t="n"/>
      <c r="I78" s="27" t="n"/>
      <c r="J78" s="25">
        <f>IF(ISBLANK(H78), "", C78 - H78)</f>
        <v/>
      </c>
    </row>
    <row r="79">
      <c r="A79" s="22" t="n">
        <v>0.05011872336272725</v>
      </c>
      <c r="B79" s="23">
        <f>A79*100</f>
        <v/>
      </c>
      <c r="C79" s="12">
        <f>MAX($H$11, 1 / (1 + $H$12 * (A79 / $C$7)))</f>
        <v/>
      </c>
      <c r="D79" s="23">
        <f>MAX($H$11, 1 / (1 + $H$12 * (A79 / $C$7))^2)</f>
        <v/>
      </c>
      <c r="E79" s="24">
        <f>C79 * $H$9</f>
        <v/>
      </c>
      <c r="F79" s="25">
        <f>E79 * A79</f>
        <v/>
      </c>
      <c r="G79" s="10">
        <f>IF(($H$12*(A79/$C$7))&lt;0.01, $H$14, MIN(45, $H$14 + 100 * ((4/PI()) * ((1 + $H$12*(A79/$C$7))/($H$12*(A79/$C$7))) * (1 - LN(1 + $H$12*(A79/$C$7))/($H$12*(A79/$C$7))) - (2/PI()))))</f>
        <v/>
      </c>
      <c r="H79" s="26" t="n"/>
      <c r="I79" s="27" t="n"/>
      <c r="J79" s="25">
        <f>IF(ISBLANK(H79), "", C79 - H79)</f>
        <v/>
      </c>
    </row>
    <row r="80">
      <c r="A80" s="22" t="n">
        <v>0.06309573444801943</v>
      </c>
      <c r="B80" s="23">
        <f>A80*100</f>
        <v/>
      </c>
      <c r="C80" s="12">
        <f>MAX($H$11, 1 / (1 + $H$12 * (A80 / $C$7)))</f>
        <v/>
      </c>
      <c r="D80" s="23">
        <f>MAX($H$11, 1 / (1 + $H$12 * (A80 / $C$7))^2)</f>
        <v/>
      </c>
      <c r="E80" s="24">
        <f>C80 * $H$9</f>
        <v/>
      </c>
      <c r="F80" s="25">
        <f>E80 * A80</f>
        <v/>
      </c>
      <c r="G80" s="10">
        <f>IF(($H$12*(A80/$C$7))&lt;0.01, $H$14, MIN(45, $H$14 + 100 * ((4/PI()) * ((1 + $H$12*(A80/$C$7))/($H$12*(A80/$C$7))) * (1 - LN(1 + $H$12*(A80/$C$7))/($H$12*(A80/$C$7))) - (2/PI()))))</f>
        <v/>
      </c>
      <c r="H80" s="26" t="n"/>
      <c r="I80" s="27" t="n"/>
      <c r="J80" s="25">
        <f>IF(ISBLANK(H80), "", C80 - H80)</f>
        <v/>
      </c>
    </row>
    <row r="81">
      <c r="A81" s="22" t="n">
        <v>0.07943282347242822</v>
      </c>
      <c r="B81" s="23">
        <f>A81*100</f>
        <v/>
      </c>
      <c r="C81" s="12">
        <f>MAX($H$11, 1 / (1 + $H$12 * (A81 / $C$7)))</f>
        <v/>
      </c>
      <c r="D81" s="23">
        <f>MAX($H$11, 1 / (1 + $H$12 * (A81 / $C$7))^2)</f>
        <v/>
      </c>
      <c r="E81" s="24">
        <f>C81 * $H$9</f>
        <v/>
      </c>
      <c r="F81" s="25">
        <f>E81 * A81</f>
        <v/>
      </c>
      <c r="G81" s="10">
        <f>IF(($H$12*(A81/$C$7))&lt;0.01, $H$14, MIN(45, $H$14 + 100 * ((4/PI()) * ((1 + $H$12*(A81/$C$7))/($H$12*(A81/$C$7))) * (1 - LN(1 + $H$12*(A81/$C$7))/($H$12*(A81/$C$7))) - (2/PI()))))</f>
        <v/>
      </c>
      <c r="H81" s="26" t="n"/>
      <c r="I81" s="27" t="n"/>
      <c r="J81" s="25">
        <f>IF(ISBLANK(H81), "", C81 - H81)</f>
        <v/>
      </c>
    </row>
    <row r="82">
      <c r="A82" s="22" t="n">
        <v>0.1</v>
      </c>
      <c r="B82" s="23">
        <f>A82*100</f>
        <v/>
      </c>
      <c r="C82" s="12">
        <f>MAX($H$11, 1 / (1 + $H$12 * (A82 / $C$7)))</f>
        <v/>
      </c>
      <c r="D82" s="23">
        <f>MAX($H$11, 1 / (1 + $H$12 * (A82 / $C$7))^2)</f>
        <v/>
      </c>
      <c r="E82" s="24">
        <f>C82 * $H$9</f>
        <v/>
      </c>
      <c r="F82" s="25">
        <f>E82 * A82</f>
        <v/>
      </c>
      <c r="G82" s="10">
        <f>IF(($H$12*(A82/$C$7))&lt;0.01, $H$14, MIN(45, $H$14 + 100 * ((4/PI()) * ((1 + $H$12*(A82/$C$7))/($H$12*(A82/$C$7))) * (1 - LN(1 + $H$12*(A82/$C$7))/($H$12*(A82/$C$7))) - (2/PI()))))</f>
        <v/>
      </c>
      <c r="H82" s="26" t="n"/>
      <c r="I82" s="27" t="n"/>
      <c r="J82" s="25">
        <f>IF(ISBLANK(H82), "", C82 - H82)</f>
        <v/>
      </c>
    </row>
  </sheetData>
  <mergeCells count="6">
    <mergeCell ref="A1:J1"/>
    <mergeCell ref="A4:D4"/>
    <mergeCell ref="F4:I4"/>
    <mergeCell ref="A30:J30"/>
    <mergeCell ref="A2:J2"/>
    <mergeCell ref="A16:I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8" t="inlineStr">
        <is>
          <t>RISULTATI SIMULAZIONE CON IL DRIVER MECCANICO (IncrementalDriver.exe)</t>
        </is>
      </c>
    </row>
    <row r="2">
      <c r="A2" s="2" t="inlineStr">
        <is>
          <t>Dati integrati ciclo per ciclo tramite ritorno plastico a 10 brick e calcolo isteretico dW</t>
        </is>
      </c>
    </row>
    <row r="4">
      <c r="A4" s="29" t="inlineStr">
        <is>
          <t>gamma_a [-]</t>
        </is>
      </c>
      <c r="B4" s="29" t="inlineStr">
        <is>
          <t>tau_a [kPa]</t>
        </is>
      </c>
      <c r="C4" s="29" t="inlineStr">
        <is>
          <t>G_sec [kPa]</t>
        </is>
      </c>
      <c r="D4" s="29" t="inlineStr">
        <is>
          <t>G / G0 [-]</t>
        </is>
      </c>
      <c r="E4" s="29" t="inlineStr">
        <is>
          <t>Damping Ratio [-]</t>
        </is>
      </c>
      <c r="F4" s="29" t="inlineStr">
        <is>
          <t>Damping D [%]</t>
        </is>
      </c>
    </row>
    <row r="5">
      <c r="A5" s="30" t="n">
        <v>9.999473615600001e-07</v>
      </c>
      <c r="B5" s="25" t="n">
        <v>0.0599490010654999</v>
      </c>
      <c r="C5" s="24" t="n">
        <v>59952.1568535114</v>
      </c>
      <c r="D5" s="23" t="n">
        <v>0.99920261422519</v>
      </c>
      <c r="E5" s="23" t="n">
        <v>0.002176662268895</v>
      </c>
      <c r="F5" s="31" t="n">
        <v>0.2176662268895024</v>
      </c>
    </row>
    <row r="6">
      <c r="A6" s="30" t="n">
        <v>2.1543212839e-06</v>
      </c>
      <c r="B6" s="25" t="n">
        <v>0.129127624315</v>
      </c>
      <c r="C6" s="24" t="n">
        <v>59938.88900416857</v>
      </c>
      <c r="D6" s="23" t="n">
        <v>0.9989814834028096</v>
      </c>
      <c r="E6" s="23" t="n">
        <v>0.0021819967300725</v>
      </c>
      <c r="F6" s="31" t="n">
        <v>0.2181996730072574</v>
      </c>
    </row>
    <row r="7">
      <c r="A7" s="30" t="n">
        <v>4.641344504e-06</v>
      </c>
      <c r="B7" s="25" t="n">
        <v>0.278064161605</v>
      </c>
      <c r="C7" s="24" t="n">
        <v>59910.26121102603</v>
      </c>
      <c r="D7" s="23" t="n">
        <v>0.9985043535171004</v>
      </c>
      <c r="E7" s="23" t="n">
        <v>0.0021947155450281</v>
      </c>
      <c r="F7" s="31" t="n">
        <v>0.2194715545028196</v>
      </c>
    </row>
    <row r="8">
      <c r="A8" s="30" t="n">
        <v>9.999473615599999e-06</v>
      </c>
      <c r="B8" s="25" t="n">
        <v>0.5984523135049999</v>
      </c>
      <c r="C8" s="24" t="n">
        <v>59848.38167594795</v>
      </c>
      <c r="D8" s="23" t="n">
        <v>0.9974730279324656</v>
      </c>
      <c r="E8" s="23" t="n">
        <v>0.0022278128429587</v>
      </c>
      <c r="F8" s="31" t="n">
        <v>0.2227812842958706</v>
      </c>
    </row>
    <row r="9">
      <c r="A9" s="30" t="n">
        <v>2.1543212839e-05</v>
      </c>
      <c r="B9" s="25" t="n">
        <v>1.26534150725</v>
      </c>
      <c r="C9" s="24" t="n">
        <v>58735.04182994161</v>
      </c>
      <c r="D9" s="23" t="n">
        <v>0.9789173638323602</v>
      </c>
      <c r="E9" s="23" t="n">
        <v>0.009101301492070901</v>
      </c>
      <c r="F9" s="31" t="n">
        <v>0.9101301492070956</v>
      </c>
    </row>
    <row r="10">
      <c r="A10" s="30" t="n">
        <v>4.641344504e-05</v>
      </c>
      <c r="B10" s="25" t="n">
        <v>2.6122906393</v>
      </c>
      <c r="C10" s="24" t="n">
        <v>56283.05843379387</v>
      </c>
      <c r="D10" s="23" t="n">
        <v>0.9380509738965646</v>
      </c>
      <c r="E10" s="23" t="n">
        <v>0.01496905180568</v>
      </c>
      <c r="F10" s="31" t="n">
        <v>1.496905180568008</v>
      </c>
    </row>
    <row r="11">
      <c r="A11" s="30" t="n">
        <v>9.9994736156e-05</v>
      </c>
      <c r="B11" s="25" t="n">
        <v>5.2530916157</v>
      </c>
      <c r="C11" s="24" t="n">
        <v>52533.68144803888</v>
      </c>
      <c r="D11" s="23" t="n">
        <v>0.8755613574673147</v>
      </c>
      <c r="E11" s="23" t="n">
        <v>0.0254377389772715</v>
      </c>
      <c r="F11" s="31" t="n">
        <v>2.543773897727153</v>
      </c>
    </row>
    <row r="12">
      <c r="A12" s="30" t="n">
        <v>0.00021543212839</v>
      </c>
      <c r="B12" s="25" t="n">
        <v>9.72553331155</v>
      </c>
      <c r="C12" s="24" t="n">
        <v>45144.30314657487</v>
      </c>
      <c r="D12" s="23" t="n">
        <v>0.7524050524429146</v>
      </c>
      <c r="E12" s="23" t="n">
        <v>0.0577554608158743</v>
      </c>
      <c r="F12" s="31" t="n">
        <v>5.775546081587435</v>
      </c>
    </row>
    <row r="13">
      <c r="A13" s="30" t="n">
        <v>0.0004641344504</v>
      </c>
      <c r="B13" s="25" t="n">
        <v>15.343428738</v>
      </c>
      <c r="C13" s="24" t="n">
        <v>33058.15529266732</v>
      </c>
      <c r="D13" s="23" t="n">
        <v>0.5509692548777887</v>
      </c>
      <c r="E13" s="23" t="n">
        <v>0.1348312305439658</v>
      </c>
      <c r="F13" s="31" t="n">
        <v>13.48312305439658</v>
      </c>
    </row>
    <row r="14">
      <c r="A14" s="30" t="n">
        <v>0.00099994736156</v>
      </c>
      <c r="B14" s="25" t="n">
        <v>17.9439427645</v>
      </c>
      <c r="C14" s="24" t="n">
        <v>17944.88735537636</v>
      </c>
      <c r="D14" s="23" t="n">
        <v>0.2990814559229394</v>
      </c>
      <c r="E14" s="23" t="n">
        <v>0.3078388302351438</v>
      </c>
      <c r="F14" s="31" t="n">
        <v>30.78388302351438</v>
      </c>
    </row>
    <row r="15">
      <c r="A15" s="30" t="n">
        <v>0.0021543212839</v>
      </c>
      <c r="B15" s="25" t="n">
        <v>23.198174607</v>
      </c>
      <c r="C15" s="24" t="n">
        <v>10768.20564340524</v>
      </c>
      <c r="D15" s="23" t="n">
        <v>0.1794700940567539</v>
      </c>
      <c r="E15" s="23" t="n">
        <v>0.3875647067363632</v>
      </c>
      <c r="F15" s="31" t="n">
        <v>38.75647067363632</v>
      </c>
    </row>
    <row r="16">
      <c r="A16" s="30" t="n">
        <v>0.004641344504</v>
      </c>
      <c r="B16" s="25" t="n">
        <v>30.068805347</v>
      </c>
      <c r="C16" s="24" t="n">
        <v>6478.468754277155</v>
      </c>
      <c r="D16" s="23" t="n">
        <v>0.1079744792379525</v>
      </c>
      <c r="E16" s="23" t="n">
        <v>0.4143833893238817</v>
      </c>
      <c r="F16" s="31" t="n">
        <v>41.43833893238818</v>
      </c>
    </row>
    <row r="17">
      <c r="A17" s="30" t="n">
        <v>0.0099994736156</v>
      </c>
      <c r="B17" s="25" t="n">
        <v>39.612852633</v>
      </c>
      <c r="C17" s="24" t="n">
        <v>3961.493790153184</v>
      </c>
      <c r="D17" s="23" t="n">
        <v>0.066024896502553</v>
      </c>
      <c r="E17" s="23" t="n">
        <v>0.4261377645505475</v>
      </c>
      <c r="F17" s="31" t="n">
        <v>42.61377645505475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2026-10-07T16:36:55Z</dcterms:created>
  <dcterms:modified xsi:type="dcterms:W3CDTF">2026-10-07T16:36:56Z</dcterms:modified>
</cp:coreProperties>
</file>